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b7dc48124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ingabe" sheetId="1" r:id="Ra54388bb2d5f42ce"/>
    <x:sheet xmlns:r="http://schemas.openxmlformats.org/officeDocument/2006/relationships" name="01_Gruppen" sheetId="2" r:id="R1a218ae7b3cb4daa"/>
    <x:sheet xmlns:r="http://schemas.openxmlformats.org/officeDocument/2006/relationships" name="02_Verbraucher" sheetId="3" r:id="R5a00741e8ec646ff"/>
    <x:sheet xmlns:r="http://schemas.openxmlformats.org/officeDocument/2006/relationships" name="03_Nutzungszeiten" sheetId="4" r:id="R75c231871fc24237"/>
    <x:sheet xmlns:r="http://schemas.openxmlformats.org/officeDocument/2006/relationships" name="04_Auslastung" sheetId="5" r:id="R5d4640133ec34217"/>
    <x:sheet xmlns:r="http://schemas.openxmlformats.org/officeDocument/2006/relationships" name="05_Annahmen" sheetId="6" r:id="R518ca6fb3af3414d"/>
    <x:sheet xmlns:r="http://schemas.openxmlformats.org/officeDocument/2006/relationships" name="06_Erzeuger" sheetId="7" r:id="R7fe958add64a4754"/>
    <x:sheet xmlns:r="http://schemas.openxmlformats.org/officeDocument/2006/relationships" name="07_Messdaten" sheetId="8" r:id="Rb03a1c2288e44fbd"/>
    <x:sheet xmlns:r="http://schemas.openxmlformats.org/officeDocument/2006/relationships" name="08_Szenarien" sheetId="9" r:id="R976e4769297140d3"/>
    <x:sheet xmlns:r="http://schemas.openxmlformats.org/officeDocument/2006/relationships" name="09_Kosten" sheetId="10" r:id="Rb8242b17d0634f20"/>
    <x:sheet xmlns:r="http://schemas.openxmlformats.org/officeDocument/2006/relationships" name="10_Listen" sheetId="11" r:id="R656073a04283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#,##0.00"/>
    <x:numFmt numFmtId="203" formatCode="yyyy-mm-dd"/>
    <x:numFmt numFmtId="204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6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/>
    <x:xf numFmtId="201" fontId="0" fillId="0" borderId="1" xfId="0" applyNumberFormat="1" applyFont="1" applyFill="1" applyBorder="1"/>
    <x:xf numFmtId="202" fontId="0" fillId="6" borderId="0" xfId="0" applyNumberFormat="1" applyFont="1" applyFill="1" applyBorder="1" applyAlignment="1">
      <x:alignment vertical="center" wrapText="1"/>
    </x:xf>
    <x:xf numFmtId="202" fontId="0" fillId="6" borderId="0" xfId="0" applyNumberFormat="1" applyFont="1" applyFill="1" applyBorder="1"/>
    <x:xf numFmtId="202" fontId="0" fillId="0" borderId="0" xfId="0" applyNumberFormat="1" applyFont="1" applyFill="1" applyBorder="1"/>
    <x:xf numFmtId="202" fontId="0" fillId="6" borderId="1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3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201" fontId="0" fillId="8" borderId="0" xfId="0" applyNumberFormat="1" applyFont="1" applyFill="1" applyBorder="1"/>
    <x:xf numFmtId="202" fontId="0" fillId="8" borderId="0" xfId="0" applyNumberFormat="1" applyFont="1" applyFill="1" applyBorder="1"/>
    <x:xf numFmtId="201" fontId="0" fillId="8" borderId="1" xfId="0" applyNumberFormat="1" applyFont="1" applyFill="1" applyBorder="1"/>
    <x:xf numFmtId="202" fontId="0" fillId="8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2" borderId="0" xfId="0" applyNumberFormat="1" applyFont="1" applyFill="1" applyBorder="1"/>
    <x:xf numFmtId="201" fontId="0" fillId="12" borderId="0" xfId="0" applyNumberFormat="1" applyFont="1" applyFill="1" applyBorder="1"/>
    <x:xf numFmtId="200" fontId="0" fillId="12" borderId="0" xfId="0" applyNumberFormat="1" applyFont="1" applyFill="1" applyBorder="1"/>
    <x:xf numFmtId="203" fontId="0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200" fontId="0" fillId="12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201" fontId="0" fillId="13" borderId="0" xfId="0" applyNumberFormat="1" applyFont="1" applyFill="1" applyBorder="1"/>
    <x:xf numFmtId="202" fontId="0" fillId="13" borderId="0" xfId="0" applyNumberFormat="1" applyFont="1" applyFill="1" applyBorder="1"/>
    <x:xf numFmtId="0" fontId="0" fillId="1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6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202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15" borderId="0" xfId="0" applyNumberFormat="1" applyFont="1" applyFill="1" applyBorder="1"/>
    <x:xf numFmtId="202" fontId="0" fillId="15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201" fontId="0" fillId="17" borderId="0" xfId="0" applyNumberFormat="1" applyFont="1" applyFill="1" applyBorder="1"/>
    <x:xf numFmtId="202" fontId="0" fillId="17" borderId="0" xfId="0" applyNumberFormat="1" applyFont="1" applyFill="1" applyBorder="1"/>
    <x:xf numFmtId="0" fontId="0" fillId="1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 applyAlignment="1">
      <x:alignment vertical="center" wrapText="1"/>
    </x:xf>
    <x:xf numFmtId="201" fontId="0" fillId="18" borderId="0" xfId="0" applyNumberFormat="1" applyFont="1" applyFill="1" applyBorder="1" applyAlignment="1">
      <x:alignment vertical="center" wrapText="1"/>
    </x:xf>
    <x:xf numFmtId="202" fontId="0" fillId="18" borderId="0" xfId="0" applyNumberFormat="1" applyFont="1" applyFill="1" applyBorder="1" applyAlignment="1">
      <x:alignment vertical="center" wrapText="1"/>
    </x:xf>
    <x:xf numFmtId="202" fontId="0" fillId="18" borderId="0" xfId="0" applyNumberFormat="1" applyFont="1" applyFill="1" applyBorder="1"/>
    <x:xf numFmtId="0" fontId="0" fillId="18" borderId="0" xfId="0" applyNumberFormat="1" applyFont="1" applyFill="1" applyBorder="1"/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18" borderId="0" xfId="0" applyNumberFormat="1" applyFont="1" applyFill="1" applyBorder="1"/>
    <x:xf numFmtId="0" fontId="0" fillId="19" borderId="0" xfId="0" applyNumberFormat="1" applyFont="1" applyFill="1" applyBorder="1" applyAlignment="1">
      <x:alignment vertical="center" wrapText="1"/>
    </x:xf>
    <x:xf numFmtId="201" fontId="0" fillId="19" borderId="0" xfId="0" applyNumberFormat="1" applyFont="1" applyFill="1" applyBorder="1" applyAlignment="1">
      <x:alignment vertical="center" wrapText="1"/>
    </x:xf>
    <x:xf numFmtId="202" fontId="0" fillId="19" borderId="0" xfId="0" applyNumberFormat="1" applyFont="1" applyFill="1" applyBorder="1" applyAlignment="1">
      <x:alignment vertical="center" wrapText="1"/>
    </x:xf>
    <x:xf numFmtId="202" fontId="0" fillId="19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19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2" fontId="0" fillId="20" borderId="0" xfId="0" applyNumberFormat="1" applyFont="1" applyFill="1" applyBorder="1"/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201" fontId="0" fillId="21" borderId="0" xfId="0" applyNumberFormat="1" applyFont="1" applyFill="1" applyBorder="1"/>
    <x:xf numFmtId="202" fontId="0" fillId="21" borderId="0" xfId="0" applyNumberFormat="1" applyFont="1" applyFill="1" applyBorder="1"/>
    <x:xf numFmtId="0" fontId="0" fillId="2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2" borderId="0" xfId="0" applyNumberFormat="1" applyFont="1" applyFill="1" applyBorder="1"/>
    <x:xf numFmtId="201" fontId="0" fillId="22" borderId="0" xfId="0" applyNumberFormat="1" applyFont="1" applyFill="1" applyBorder="1"/>
    <x:xf numFmtId="202" fontId="0" fillId="22" borderId="0" xfId="0" applyNumberFormat="1" applyFont="1" applyFill="1" applyBorder="1"/>
    <x:xf numFmtId="0" fontId="0" fillId="2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3" borderId="0" xfId="0" applyNumberFormat="1" applyFont="1" applyFill="1" applyBorder="1"/>
    <x:xf numFmtId="201" fontId="0" fillId="23" borderId="0" xfId="0" applyNumberFormat="1" applyFont="1" applyFill="1" applyBorder="1"/>
    <x:xf numFmtId="202" fontId="0" fillId="23" borderId="0" xfId="0" applyNumberFormat="1" applyFont="1" applyFill="1" applyBorder="1"/>
    <x:xf numFmtId="0" fontId="0" fillId="2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4" borderId="0" xfId="0" applyNumberFormat="1" applyFont="1" applyFill="1" applyBorder="1"/>
    <x:xf numFmtId="201" fontId="0" fillId="24" borderId="0" xfId="0" applyNumberFormat="1" applyFont="1" applyFill="1" applyBorder="1"/>
    <x:xf numFmtId="202" fontId="0" fillId="24" borderId="0" xfId="0" applyNumberFormat="1" applyFont="1" applyFill="1" applyBorder="1"/>
    <x:xf numFmtId="0" fontId="0" fillId="2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5" borderId="0" xfId="0" applyNumberFormat="1" applyFont="1" applyFill="1" applyBorder="1"/>
    <x:xf numFmtId="201" fontId="0" fillId="25" borderId="0" xfId="0" applyNumberFormat="1" applyFont="1" applyFill="1" applyBorder="1"/>
    <x:xf numFmtId="202" fontId="0" fillId="25" borderId="0" xfId="0" applyNumberFormat="1" applyFont="1" applyFill="1" applyBorder="1"/>
    <x:xf numFmtId="0" fontId="0" fillId="2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 applyAlignment="1">
      <x:alignment horizontal="center"/>
    </x:xf>
    <x:xf numFmtId="0" fontId="4" fillId="27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26" borderId="0" xfId="0" applyNumberFormat="1" applyFont="1" applyFill="1" applyBorder="1"/>
    <x:xf numFmtId="0" fontId="0" fillId="2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6" borderId="0" xfId="0" applyNumberFormat="1" applyFont="1" applyFill="1" applyBorder="1" applyAlignment="1">
      <x:alignment wrapText="1"/>
    </x:xf>
    <x:xf numFmtId="204" fontId="0" fillId="26" borderId="0" xfId="0" applyNumberFormat="1" applyFont="1" applyFill="1" applyBorder="1" applyAlignment="1">
      <x:alignment wrapText="1"/>
    </x:xf>
    <x:xf numFmtId="201" fontId="0" fillId="26" borderId="0" xfId="0" applyNumberFormat="1" applyFont="1" applyFill="1" applyBorder="1"/>
    <x:xf numFmtId="202" fontId="0" fillId="2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horizont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204" fontId="0" fillId="28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23becc8834ed0" /><Relationship Type="http://schemas.openxmlformats.org/officeDocument/2006/relationships/theme" Target="/xl/theme/theme1.xml" Id="R5627fc28342441a4" /><Relationship Type="http://schemas.microsoft.com/office/2022/11/relationships/FeaturePropertyBag" Target="/xl/featurePropertyBag/featurePropertyBag.xml" Id="R8845d0547a0f42b6" /><Relationship Type="http://schemas.openxmlformats.org/officeDocument/2006/relationships/sharedStrings" Target="/xl/sharedStrings.xml" Id="R5bfe5f83b7c14eba" /><Relationship Type="http://schemas.openxmlformats.org/officeDocument/2006/relationships/worksheet" Target="/xl/worksheets/sheet1.xml" Id="Ra54388bb2d5f42ce" /><Relationship Type="http://schemas.openxmlformats.org/officeDocument/2006/relationships/worksheet" Target="/xl/worksheets/sheet2.xml" Id="R1a218ae7b3cb4daa" /><Relationship Type="http://schemas.openxmlformats.org/officeDocument/2006/relationships/worksheet" Target="/xl/worksheets/sheet3.xml" Id="R5a00741e8ec646ff" /><Relationship Type="http://schemas.openxmlformats.org/officeDocument/2006/relationships/worksheet" Target="/xl/worksheets/sheet4.xml" Id="R75c231871fc24237" /><Relationship Type="http://schemas.openxmlformats.org/officeDocument/2006/relationships/worksheet" Target="/xl/worksheets/sheet5.xml" Id="R5d4640133ec34217" /><Relationship Type="http://schemas.openxmlformats.org/officeDocument/2006/relationships/worksheet" Target="/xl/worksheets/sheet6.xml" Id="R518ca6fb3af3414d" /><Relationship Type="http://schemas.openxmlformats.org/officeDocument/2006/relationships/worksheet" Target="/xl/worksheets/sheet7.xml" Id="R7fe958add64a4754" /><Relationship Type="http://schemas.openxmlformats.org/officeDocument/2006/relationships/worksheet" Target="/xl/worksheets/sheet8.xml" Id="Rb03a1c2288e44fbd" /><Relationship Type="http://schemas.openxmlformats.org/officeDocument/2006/relationships/worksheet" Target="/xl/worksheets/sheet9.xml" Id="R976e4769297140d3" /><Relationship Type="http://schemas.openxmlformats.org/officeDocument/2006/relationships/worksheet" Target="/xl/worksheets/sheet10.xml" Id="Rb8242b17d0634f20" /><Relationship Type="http://schemas.openxmlformats.org/officeDocument/2006/relationships/worksheet" Target="/xl/worksheets/sheet11.xml" Id="R656073a0428343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55" hidden="0" customWidth="1"/>
    <x:col min="5" max="5" width="20" hidden="0" customWidth="1"/>
    <x:col min="6" max="6" width="30" hidden="0" customWidth="1"/>
    <x:col min="7" max="7" width="18" hidden="0" customWidth="1"/>
    <x:col min="8" max="8" width="18" hidden="0" customWidth="1"/>
    <x:col min="9" max="9" width="46" hidden="0" customWidth="1"/>
  </x:cols>
  <x:sheetData>
    <x:row r="1" ht="26" customHeight="1">
      <x:c r="A1" s="4" t="str">
        <x:v>Adaptives Energiesystemmodell – zentrale Eingabe</x:v>
      </x:c>
      <x:c r="B1" s="4"/>
      <x:c r="C1" s="4"/>
      <x:c r="D1" s="4"/>
      <x:c r="E1" s="4"/>
      <x:c r="F1" s="4"/>
      <x:c r="G1" s="4"/>
      <x:c r="H1" s="4"/>
    </x:row>
    <x:row r="3" ht="28" customHeight="1">
      <x:c r="A3" s="11" t="str">
        <x:v>Eingaben werden gelb markiert. Automatisch berechnete Werte sind grün. Python erzeugt daraus die 15-Minuten-Lastgänge der Verbrauchergruppen.</x:v>
      </x:c>
      <x:c r="B3" s="11"/>
      <x:c r="C3" s="11"/>
      <x:c r="D3" s="11"/>
      <x:c r="E3" s="11"/>
      <x:c r="F3" s="11"/>
      <x:c r="G3" s="11"/>
      <x:c r="H3" s="11"/>
    </x:row>
    <x:row r="5">
      <x:c r="A5" s="18" t="str">
        <x:v>Grundannahmen</x:v>
      </x:c>
      <x:c r="B5" s="18"/>
      <x:c r="C5" s="18"/>
      <x:c r="D5" s="18"/>
      <x:c r="F5" s="18" t="str">
        <x:v>Modell-Kennzahlen</x:v>
      </x:c>
      <x:c r="G5" s="18"/>
      <x:c r="H5" s="18"/>
    </x:row>
    <x:row r="6">
      <x:c r="A6" s="26" t="str">
        <x:v>Parameter</x:v>
      </x:c>
      <x:c r="B6" s="26" t="str">
        <x:v>Wert</x:v>
      </x:c>
      <x:c r="C6" s="26" t="str">
        <x:v>Einheit</x:v>
      </x:c>
      <x:c r="D6" s="26" t="str">
        <x:v>Hinweis</x:v>
      </x:c>
      <x:c r="F6" t="str">
        <x:v>Aktive Verbrauchergruppen</x:v>
      </x:c>
      <x:c r="G6" s="118" t="n">
        <x:f>COUNTIF('01_Gruppen'!H4:H14,1)</x:f>
        <x:v>11</x:v>
      </x:c>
    </x:row>
    <x:row r="7">
      <x:c r="A7" s="52" t="str">
        <x:v>Modelljahr</x:v>
      </x:c>
      <x:c r="B7" s="53" t="n">
        <x:v>2025</x:v>
      </x:c>
      <x:c r="C7" s="52" t="str">
        <x:v>Jahr</x:v>
      </x:c>
      <x:c r="D7" s="52" t="str">
        <x:v>Steuert den automatisch erzeugten Jahreskalender</x:v>
      </x:c>
      <x:c r="F7" t="str">
        <x:v>Ø Gäste / Hotelzimmer</x:v>
      </x:c>
      <x:c r="G7" s="119" t="n">
        <x:f>B18</x:f>
        <x:v>1.9000000000000001</x:v>
      </x:c>
    </x:row>
    <x:row r="8">
      <x:c r="A8" s="52" t="str">
        <x:v>Zimmer verfügbar</x:v>
      </x:c>
      <x:c r="B8" s="53" t="n">
        <x:v>35</x:v>
      </x:c>
      <x:c r="C8" s="52" t="str">
        <x:v>Stk.</x:v>
      </x:c>
      <x:c r="D8" s="52" t="str">
        <x:v>Hotelzimmer ohne Chalets</x:v>
      </x:c>
      <x:c r="F8" t="str">
        <x:v>Ø Gäste / Chalet</x:v>
      </x:c>
      <x:c r="G8" s="119" t="n">
        <x:f>B19</x:f>
        <x:v>2.2</x:v>
      </x:c>
    </x:row>
    <x:row r="9">
      <x:c r="A9" s="52" t="str">
        <x:v>Chalets verfügbar</x:v>
      </x:c>
      <x:c r="B9" s="53" t="n">
        <x:v>4</x:v>
      </x:c>
      <x:c r="C9" s="52" t="str">
        <x:v>Stk.</x:v>
      </x:c>
      <x:c r="D9" s="52" t="str">
        <x:v>Separater Lastgang</x:v>
      </x:c>
      <x:c r="F9" t="str">
        <x:v>Hauptsaison Hotel UW</x:v>
      </x:c>
      <x:c r="G9" s="120" t="n">
        <x:f>B25</x:f>
        <x:v>0.85</x:v>
      </x:c>
    </x:row>
    <x:row r="10">
      <x:c r="A10" s="52" t="str">
        <x:v>Zimmer: Anteil Einzelnutzung</x:v>
      </x:c>
      <x:c r="B10" s="54" t="n">
        <x:v>0.1</x:v>
      </x:c>
      <x:c r="C10" s="52" t="str">
        <x:v>%</x:v>
      </x:c>
      <x:c r="D10" s="52" t="str">
        <x:v>Anteil der belegten Zimmer</x:v>
      </x:c>
      <x:c r="F10" t="str">
        <x:v>Hauptsaison Hotel WE</x:v>
      </x:c>
      <x:c r="G10" s="120" t="n">
        <x:f>C25</x:f>
        <x:v>0.9</x:v>
      </x:c>
    </x:row>
    <x:row r="11">
      <x:c r="A11" s="52" t="str">
        <x:v>Zimmer: Anteil Doppelnutzung</x:v>
      </x:c>
      <x:c r="B11" s="55" t="n">
        <x:f>1-B10</x:f>
        <x:v>0.9</x:v>
      </x:c>
      <x:c r="C11" s="52" t="str">
        <x:v>%</x:v>
      </x:c>
      <x:c r="D11" s="52" t="str">
        <x:v>Wird automatisch als Rest berechnet</x:v>
      </x:c>
      <x:c r="F11" t="str">
        <x:v>Nebensaison Hotel UW</x:v>
      </x:c>
      <x:c r="G11" s="120" t="n">
        <x:f>B24</x:f>
        <x:v>0.7</x:v>
      </x:c>
    </x:row>
    <x:row r="12">
      <x:c r="A12" s="52" t="str">
        <x:v>Chalets: Anteil Doppelnutzung</x:v>
      </x:c>
      <x:c r="B12" s="54" t="n">
        <x:v>0.9</x:v>
      </x:c>
      <x:c r="C12" s="52" t="str">
        <x:v>%</x:v>
      </x:c>
      <x:c r="D12" s="52" t="str">
        <x:v>Anteil der belegten Chalets</x:v>
      </x:c>
      <x:c r="F12" t="str">
        <x:v>Nebensaison Hotel WE</x:v>
      </x:c>
      <x:c r="G12" s="120" t="n">
        <x:f>C24</x:f>
        <x:v>0.75</x:v>
      </x:c>
    </x:row>
    <x:row r="13">
      <x:c r="A13" s="52" t="str">
        <x:v>Chalets: Anteil Vierfachnutzung</x:v>
      </x:c>
      <x:c r="B13" s="55" t="n">
        <x:f>1-B12</x:f>
        <x:v>0.09999999999999998</x:v>
      </x:c>
      <x:c r="C13" s="52" t="str">
        <x:v>%</x:v>
      </x:c>
      <x:c r="D13" s="52" t="str">
        <x:v>Wird automatisch als Rest berechnet</x:v>
      </x:c>
      <x:c r="F13" t="str">
        <x:v>Abendessen Hausgäste</x:v>
      </x:c>
      <x:c r="G13" s="120" t="n">
        <x:f>B40</x:f>
        <x:v>0.9</x:v>
      </x:c>
    </x:row>
    <x:row r="14">
      <x:c r="A14" s="52" t="str">
        <x:v>Externquote Frühstück</x:v>
      </x:c>
      <x:c r="B14" s="54" t="n">
        <x:v>0.15</x:v>
      </x:c>
      <x:c r="C14" s="52" t="str">
        <x:v>%</x:v>
      </x:c>
      <x:c r="D14" s="52" t="str">
        <x:v>Zusätzliche externe Gäste bezogen auf interne Frühstücksgäste</x:v>
      </x:c>
      <x:c r="F14" t="str">
        <x:v>Ladevorgänge / Tag</x:v>
      </x:c>
      <x:c r="G14" s="118" t="n">
        <x:f>G24</x:f>
        <x:v>8</x:v>
      </x:c>
    </x:row>
    <x:row r="15">
      <x:c r="A15" s="52" t="str">
        <x:v>Externquote Sauna</x:v>
      </x:c>
      <x:c r="B15" s="54" t="n">
        <x:v>0.15</x:v>
      </x:c>
      <x:c r="C15" s="52" t="str">
        <x:v>%</x:v>
      </x:c>
      <x:c r="D15" s="52" t="str">
        <x:v>Zusätzliche externe Gäste bezogen auf interne Saunagäste</x:v>
      </x:c>
    </x:row>
    <x:row r="16">
      <x:c r="A16" s="52" t="str">
        <x:v>Interne Frühstücksteilnahme</x:v>
      </x:c>
      <x:c r="B16" s="54" t="n">
        <x:v>1</x:v>
      </x:c>
      <x:c r="C16" s="52" t="str">
        <x:v>%</x:v>
      </x:c>
      <x:c r="D16" s="52" t="str">
        <x:v>Anteil der Hausgäste, die frühstücken</x:v>
      </x:c>
    </x:row>
    <x:row r="17">
      <x:c r="A17" s="52" t="str">
        <x:v>Interne Saunateilnahme</x:v>
      </x:c>
      <x:c r="B17" s="54" t="n">
        <x:v>1</x:v>
      </x:c>
      <x:c r="C17" s="52" t="str">
        <x:v>%</x:v>
      </x:c>
      <x:c r="D17" s="52" t="str">
        <x:v>Anteil der Hausgäste, die die Sauna nutzen</x:v>
      </x:c>
    </x:row>
    <x:row r="18">
      <x:c r="A18" s="52" t="str">
        <x:v>Ø Gäste je belegtem Hotelzimmer</x:v>
      </x:c>
      <x:c r="B18" s="56" t="n">
        <x:f>B10*1+B11*2</x:f>
        <x:v>1.9000000000000001</x:v>
      </x:c>
      <x:c r="C18" s="52" t="str">
        <x:v>Pers./Zimmer</x:v>
      </x:c>
      <x:c r="D18" s="52" t="str">
        <x:v>Automatisch aus Einzel-/Doppelnutzung</x:v>
      </x:c>
    </x:row>
    <x:row r="19">
      <x:c r="A19" s="52" t="str">
        <x:v>Ø Gäste je belegtem Chalet</x:v>
      </x:c>
      <x:c r="B19" s="56" t="n">
        <x:f>B12*2+B13*4</x:f>
        <x:v>2.2</x:v>
      </x:c>
      <x:c r="C19" s="52" t="str">
        <x:v>Pers./Chalet</x:v>
      </x:c>
      <x:c r="D19" s="52" t="str">
        <x:v>Automatisch aus Doppel-/Vierfachnutzung</x:v>
      </x:c>
    </x:row>
    <x:row r="20">
      <x:c r="A20" t="str">
        <x:v>Kirchberghütte Kapazität</x:v>
      </x:c>
      <x:c r="B20" s="128" t="n">
        <x:v>19</x:v>
      </x:c>
      <x:c r="C20" t="str">
        <x:v>Betten</x:v>
      </x:c>
      <x:c r="D20" t="str">
        <x:v>Eigene Auslastung wird später separat definiert</x:v>
      </x:c>
    </x:row>
    <x:row r="22">
      <x:c r="A22" s="18" t="str">
        <x:v>Saison-Auslastung</x:v>
      </x:c>
      <x:c r="B22" s="18"/>
      <x:c r="C22" s="18"/>
      <x:c r="D22" s="18"/>
      <x:c r="E22" s="18"/>
      <x:c r="F22" s="107" t="str">
        <x:v>Ladestationen &amp; Hauswirtschaft</x:v>
      </x:c>
      <x:c r="G22" s="107"/>
      <x:c r="H22" s="107"/>
      <x:c r="I22" s="107"/>
    </x:row>
    <x:row r="23">
      <x:c r="A23" s="26" t="str">
        <x:v>Saison</x:v>
      </x:c>
      <x:c r="B23" s="26" t="str">
        <x:v>Hotel Unterwoche</x:v>
      </x:c>
      <x:c r="C23" s="26" t="str">
        <x:v>Hotel Wochenende</x:v>
      </x:c>
      <x:c r="D23" s="26" t="str">
        <x:v>Chalets Unterwoche</x:v>
      </x:c>
      <x:c r="E23" s="26" t="str">
        <x:v>Chalets Wochenende</x:v>
      </x:c>
      <x:c r="F23" s="108" t="str">
        <x:v>Parameter</x:v>
      </x:c>
      <x:c r="G23" s="108" t="str">
        <x:v>Wert</x:v>
      </x:c>
      <x:c r="H23" s="108" t="str">
        <x:v>Einheit</x:v>
      </x:c>
      <x:c r="I23" s="108" t="str">
        <x:v>Hinweis</x:v>
      </x:c>
    </x:row>
    <x:row r="24">
      <x:c r="A24" s="52" t="str">
        <x:v>Nebensaison</x:v>
      </x:c>
      <x:c r="B24" s="106" t="n">
        <x:v>0.7</x:v>
      </x:c>
      <x:c r="C24" s="106" t="n">
        <x:v>0.75</x:v>
      </x:c>
      <x:c r="D24" s="106" t="n">
        <x:v>0.7</x:v>
      </x:c>
      <x:c r="E24" s="106" t="n">
        <x:v>0.75</x:v>
      </x:c>
      <x:c r="F24" t="str">
        <x:v>Ladevorgänge je Betriebstag</x:v>
      </x:c>
      <x:c r="G24" s="116" t="n">
        <x:v>8</x:v>
      </x:c>
      <x:c r="H24" t="str">
        <x:v>Vorgänge/Tag</x:v>
      </x:c>
      <x:c r="I24" t="str">
        <x:v>Pauschale Annahme</x:v>
      </x:c>
    </x:row>
    <x:row r="25">
      <x:c r="A25" s="52" t="str">
        <x:v>Hauptsaison</x:v>
      </x:c>
      <x:c r="B25" s="106" t="n">
        <x:v>0.85</x:v>
      </x:c>
      <x:c r="C25" s="106" t="n">
        <x:v>0.9</x:v>
      </x:c>
      <x:c r="D25" s="106" t="n">
        <x:v>0.85</x:v>
      </x:c>
      <x:c r="E25" s="106" t="n">
        <x:v>0.9</x:v>
      </x:c>
      <x:c r="F25" t="str">
        <x:v>Lastabwurf bei Überlast</x:v>
      </x:c>
      <x:c r="G25" s="117" t="b">
        <x:v>1</x:v>
      </x:c>
      <x:c r="H25" t="str">
        <x:v>Ja/Nein</x:v>
      </x:c>
      <x:c r="I25" t="str">
        <x:v>Ladestationen werden bei kritischer Gesamtlast abgeregelt/abgeworfen</x:v>
      </x:c>
    </x:row>
    <x:row r="26">
      <x:c r="A26" s="52" t="str">
        <x:v>Weihnachten</x:v>
      </x:c>
      <x:c r="B26" s="106" t="n">
        <x:v>0.98</x:v>
      </x:c>
      <x:c r="C26" s="106" t="n">
        <x:v>0.98</x:v>
      </x:c>
      <x:c r="D26" s="106" t="n">
        <x:v>0.98</x:v>
      </x:c>
      <x:c r="E26" s="106" t="n">
        <x:v>0.98</x:v>
      </x:c>
      <x:c r="F26" t="str">
        <x:v>Wäscherei Start</x:v>
      </x:c>
      <x:c r="G26" s="116" t="str">
        <x:v>10:00</x:v>
      </x:c>
      <x:c r="H26" t="str">
        <x:v>Uhr</x:v>
      </x:c>
      <x:c r="I26" t="str">
        <x:v>Maschinenbasierte Modellierung</x:v>
      </x:c>
    </x:row>
    <x:row r="27">
      <x:c r="A27" s="52" t="str">
        <x:v>Betriebsferien</x:v>
      </x:c>
      <x:c r="B27" s="106" t="n">
        <x:v>0</x:v>
      </x:c>
      <x:c r="C27" s="106" t="n">
        <x:v>0</x:v>
      </x:c>
      <x:c r="D27" s="106" t="n">
        <x:v>0</x:v>
      </x:c>
      <x:c r="E27" s="106" t="n">
        <x:v>0</x:v>
      </x:c>
      <x:c r="F27" t="str">
        <x:v>Wäscherei Ende</x:v>
      </x:c>
      <x:c r="G27" s="116" t="str">
        <x:v>17:00</x:v>
      </x:c>
      <x:c r="H27" t="str">
        <x:v>Uhr</x:v>
      </x:c>
      <x:c r="I27" t="str">
        <x:v>Maschinen laufen im Betriebsfenster weitgehend durch</x:v>
      </x:c>
    </x:row>
    <x:row r="28">
      <x:c r="F28" t="str">
        <x:v>Wäscherei Tage Nebensaison</x:v>
      </x:c>
      <x:c r="G28" s="196" t="n">
        <x:v>3</x:v>
      </x:c>
      <x:c r="H28" t="str">
        <x:v>Tage/Woche</x:v>
      </x:c>
      <x:c r="I28" t="str">
        <x:v>Konkrete Wochentage später festlegen</x:v>
      </x:c>
    </x:row>
    <x:row r="29">
      <x:c r="F29" t="str">
        <x:v>Wäscherei Tage Hauptsaison</x:v>
      </x:c>
      <x:c r="G29" s="196" t="n">
        <x:v>5</x:v>
      </x:c>
      <x:c r="H29" t="str">
        <x:v>Tage/Woche</x:v>
      </x:c>
      <x:c r="I29" t="str">
        <x:v>Aus 'eigentlich durch' als täglicher Betrieb abgeleitet</x:v>
      </x:c>
    </x:row>
    <x:row r="30">
      <x:c r="A30" s="18" t="str">
        <x:v>Saisonlogik</x:v>
      </x:c>
      <x:c r="B30" s="18"/>
      <x:c r="C30" s="18"/>
      <x:c r="F30" t="str">
        <x:v>Wäscherei Tage Weihnachten</x:v>
      </x:c>
      <x:c r="G30" s="196" t="n">
        <x:v>5</x:v>
      </x:c>
      <x:c r="H30" t="str">
        <x:v>Tage/Woche</x:v>
      </x:c>
      <x:c r="I30" t="str">
        <x:v>Wie Hauptsaison</x:v>
      </x:c>
    </x:row>
    <x:row r="31">
      <x:c r="A31" s="26" t="str">
        <x:v>Saison</x:v>
      </x:c>
      <x:c r="B31" s="26" t="str">
        <x:v>Zeitraum</x:v>
      </x:c>
      <x:c r="C31" s="26" t="str">
        <x:v>Hinweis</x:v>
      </x:c>
      <x:c r="F31" t="str">
        <x:v>Wäscherei Tage Betriebsferien</x:v>
      </x:c>
      <x:c r="G31" s="196" t="n">
        <x:v>0</x:v>
      </x:c>
      <x:c r="H31" t="str">
        <x:v>Tage/Woche</x:v>
      </x:c>
      <x:c r="I31" t="str">
        <x:v>Kein Betrieb</x:v>
      </x:c>
    </x:row>
    <x:row r="32">
      <x:c r="A32" s="52" t="str">
        <x:v>Nebensaison</x:v>
      </x:c>
      <x:c r="B32" s="52" t="str">
        <x:v>03.01.–30.04. und 01.10.–15.12.</x:v>
      </x:c>
      <x:c r="C32" s="52" t="str">
        <x:v>Betriebsferien überschreiben die Nebensaison</x:v>
      </x:c>
      <x:c r="F32" t="str">
        <x:v>Außenanlage Saisonfaktor</x:v>
      </x:c>
      <x:c r="G32" s="116" t="n">
        <x:v>1</x:v>
      </x:c>
      <x:c r="H32" t="str">
        <x:v>-</x:v>
      </x:c>
      <x:c r="I32" t="str">
        <x:v>Optional; zunächst neutral</x:v>
      </x:c>
    </x:row>
    <x:row r="33">
      <x:c r="A33" s="52" t="str">
        <x:v>Hauptsaison</x:v>
      </x:c>
      <x:c r="B33" s="52" t="str">
        <x:v>01.05.–30.09. und 16.12.–19.12.</x:v>
      </x:c>
      <x:c r="C33" s="52" t="str">
        <x:v>Restlicher regulärer Betrieb</x:v>
      </x:c>
    </x:row>
    <x:row r="34">
      <x:c r="A34" s="52" t="str">
        <x:v>Weihnachten</x:v>
      </x:c>
      <x:c r="B34" s="52" t="str">
        <x:v>20.12.–02.01.</x:v>
      </x:c>
      <x:c r="C34" s="52" t="str">
        <x:v>Sonderperiode mit Vorrang</x:v>
      </x:c>
    </x:row>
    <x:row r="35">
      <x:c r="A35" s="52" t="str">
        <x:v>Betriebsferien</x:v>
      </x:c>
      <x:c r="B35" s="52" t="str">
        <x:v>24.11.–07.12.</x:v>
      </x:c>
      <x:c r="C35" s="52" t="str">
        <x:v>Aktuell als Näherung für letzte Nov.- und erste Dez.-Woche</x:v>
      </x:c>
    </x:row>
    <x:row r="38">
      <x:c r="A38" s="107" t="str">
        <x:v>Gastronomie &amp; Tagung</x:v>
      </x:c>
      <x:c r="B38" s="107"/>
      <x:c r="C38" s="107"/>
      <x:c r="D38" s="107"/>
    </x:row>
    <x:row r="39">
      <x:c r="A39" s="108" t="str">
        <x:v>Parameter</x:v>
      </x:c>
      <x:c r="B39" s="108" t="str">
        <x:v>Wert</x:v>
      </x:c>
      <x:c r="C39" s="108" t="str">
        <x:v>Einheit</x:v>
      </x:c>
      <x:c r="D39" s="108" t="str">
        <x:v>Hinweis</x:v>
      </x:c>
    </x:row>
    <x:row r="40">
      <x:c r="A40" s="52" t="str">
        <x:v>Anteil Hausgäste Abendessen</x:v>
      </x:c>
      <x:c r="B40" s="106" t="n">
        <x:v>0.9</x:v>
      </x:c>
      <x:c r="C40" s="52" t="str">
        <x:v>%</x:v>
      </x:c>
      <x:c r="D40" s="52" t="str">
        <x:v>Anteil der Hausgäste, die im Betrieb zu Abend essen</x:v>
      </x:c>
    </x:row>
    <x:row r="41">
      <x:c r="A41" s="52" t="str">
        <x:v>Externe Abendgäste Unterwoche</x:v>
      </x:c>
      <x:c r="B41" s="109" t="n">
        <x:v>5</x:v>
      </x:c>
      <x:c r="C41" s="52" t="str">
        <x:v>Pers./Tag</x:v>
      </x:c>
      <x:c r="D41" s="52" t="str">
        <x:v>Typischer zusätzlicher Restaurantbesuch</x:v>
      </x:c>
    </x:row>
    <x:row r="42">
      <x:c r="A42" s="52" t="str">
        <x:v>Externe Abendgäste Wochenende</x:v>
      </x:c>
      <x:c r="B42" s="109" t="n">
        <x:v>30</x:v>
      </x:c>
      <x:c r="C42" s="52" t="str">
        <x:v>Pers./Tag</x:v>
      </x:c>
      <x:c r="D42" s="52" t="str">
        <x:v>Typischer zusätzlicher Restaurantbesuch</x:v>
      </x:c>
    </x:row>
    <x:row r="43">
      <x:c r="A43" s="52" t="str">
        <x:v>Tagungen Unterwoche</x:v>
      </x:c>
      <x:c r="B43" s="109" t="n">
        <x:v>2</x:v>
      </x:c>
      <x:c r="C43" s="52" t="str">
        <x:v>Veranst./Woche</x:v>
      </x:c>
      <x:c r="D43" s="52" t="str">
        <x:v>Nur Montag–Freitag; konkrete Tage später im Kalender</x:v>
      </x:c>
    </x:row>
    <x:row r="44">
      <x:c r="A44" s="52" t="str">
        <x:v>Teilnehmer je Tagung</x:v>
      </x:c>
      <x:c r="B44" s="109" t="n">
        <x:v>40</x:v>
      </x:c>
      <x:c r="C44" s="52" t="str">
        <x:v>Pers./Veranst.</x:v>
      </x:c>
      <x:c r="D44" s="52" t="str">
        <x:v>Pauschaler Ansatz</x:v>
      </x:c>
    </x:row>
    <x:row r="47">
      <x:c r="A47" s="199" t="str">
        <x:v>Betriebszeiten &amp; Nutzungslogik</x:v>
      </x:c>
      <x:c r="B47" s="199"/>
      <x:c r="C47" s="199"/>
      <x:c r="D47" s="199"/>
    </x:row>
    <x:row r="48">
      <x:c r="A48" s="201" t="str">
        <x:v>Parameter</x:v>
      </x:c>
      <x:c r="B48" s="201" t="str">
        <x:v>Wert</x:v>
      </x:c>
      <x:c r="C48" s="201" t="str">
        <x:v>Einheit</x:v>
      </x:c>
      <x:c r="D48" s="201" t="str">
        <x:v>Hinweis</x:v>
      </x:c>
    </x:row>
    <x:row r="49">
      <x:c r="A49" s="42" t="str">
        <x:v>Chalets dauerhaft temperiert</x:v>
      </x:c>
      <x:c r="B49" s="204" t="b">
        <x:v>1</x:v>
      </x:c>
      <x:c r="C49" s="42" t="str">
        <x:v>Ja/Nein</x:v>
      </x:c>
      <x:c r="D49" s="42" t="str">
        <x:v>Splitgeräte halten auch bei unbelegtem Chalet die Solltemperatur</x:v>
      </x:c>
    </x:row>
    <x:row r="50">
      <x:c r="A50" s="42" t="str">
        <x:v>Kirchberghütte typisch Wochenende belegt</x:v>
      </x:c>
      <x:c r="B50" s="204" t="b">
        <x:v>1</x:v>
      </x:c>
      <x:c r="C50" s="42" t="str">
        <x:v>Ja/Nein</x:v>
      </x:c>
      <x:c r="D50" s="42" t="str">
        <x:v>KISS-Annahme: Sa/So belegt, Mo–Fr unbelegt; ganzjährig</x:v>
      </x:c>
    </x:row>
    <x:row r="51">
      <x:c r="A51" s="42" t="str">
        <x:v>Gastronomie À-la-carte Start</x:v>
      </x:c>
      <x:c r="B51" s="205" t="str">
        <x:v>12:00</x:v>
      </x:c>
      <x:c r="C51" s="42" t="str">
        <x:v>Uhr</x:v>
      </x:c>
      <x:c r="D51" s="42" t="str">
        <x:v>Ab diesem Zeitpunkt auch Vorbereitung</x:v>
      </x:c>
    </x:row>
    <x:row r="52">
      <x:c r="A52" s="42" t="str">
        <x:v>Gastronomie Ende normal</x:v>
      </x:c>
      <x:c r="B52" s="205" t="str">
        <x:v>21:00</x:v>
      </x:c>
      <x:c r="C52" s="42" t="str">
        <x:v>Uhr</x:v>
      </x:c>
      <x:c r="D52" s="42" t="str">
        <x:v>Regulärer Küchenbetrieb</x:v>
      </x:c>
    </x:row>
    <x:row r="53">
      <x:c r="A53" s="42" t="str">
        <x:v>Gastronomie Ende Weihnachten</x:v>
      </x:c>
      <x:c r="B53" s="205" t="str">
        <x:v>01:00</x:v>
      </x:c>
      <x:c r="C53" s="42" t="str">
        <x:v>Uhr</x:v>
      </x:c>
      <x:c r="D53" s="42" t="str">
        <x:v>In der Weihnachtsperiode bis 01:00 Uhr des Folgetags</x:v>
      </x:c>
    </x:row>
    <x:row r="54">
      <x:c r="A54" s="42" t="str">
        <x:v>Sauna Start</x:v>
      </x:c>
      <x:c r="B54" s="205" t="str">
        <x:v>14:00</x:v>
      </x:c>
      <x:c r="C54" s="42" t="str">
        <x:v>Uhr</x:v>
      </x:c>
      <x:c r="D54" s="42" t="str">
        <x:v>Sauna/Dampfbad/Infrarot</x:v>
      </x:c>
    </x:row>
    <x:row r="55">
      <x:c r="A55" s="42" t="str">
        <x:v>Sauna Ende</x:v>
      </x:c>
      <x:c r="B55" s="205" t="str">
        <x:v>21:00</x:v>
      </x:c>
      <x:c r="C55" s="42" t="str">
        <x:v>Uhr</x:v>
      </x:c>
      <x:c r="D55" s="42" t="str">
        <x:v>Sauna/Dampfbad/Infrarot</x:v>
      </x:c>
    </x:row>
    <x:row r="56">
      <x:c r="A56" s="42" t="str">
        <x:v>Schwimmbad Start</x:v>
      </x:c>
      <x:c r="B56" s="205" t="str">
        <x:v>10:00</x:v>
      </x:c>
      <x:c r="C56" s="42" t="str">
        <x:v>Uhr</x:v>
      </x:c>
      <x:c r="D56" s="42" t="str">
        <x:v>Öffnung für Gäste</x:v>
      </x:c>
    </x:row>
    <x:row r="57">
      <x:c r="A57" s="42" t="str">
        <x:v>Schwimmbad Ende</x:v>
      </x:c>
      <x:c r="B57" s="205" t="str">
        <x:v>21:00</x:v>
      </x:c>
      <x:c r="C57" s="42" t="str">
        <x:v>Uhr</x:v>
      </x:c>
      <x:c r="D57" s="42" t="str">
        <x:v>Öffnung für Gäste</x:v>
      </x:c>
    </x:row>
    <x:row r="58">
      <x:c r="A58" s="42" t="str">
        <x:v>Schwimmbad Umwälzung 24 h</x:v>
      </x:c>
      <x:c r="B58" s="204" t="b">
        <x:v>1</x:v>
      </x:c>
      <x:c r="C58" s="42" t="str">
        <x:v>Ja/Nein</x:v>
      </x:c>
      <x:c r="D58" s="42" t="str">
        <x:v>Grundtechnik läuft durchgehend</x:v>
      </x:c>
    </x:row>
    <x:row r="59">
      <x:c r="A59" s="42" t="str">
        <x:v>Tagung Start</x:v>
      </x:c>
      <x:c r="B59" s="205" t="str">
        <x:v>09:00</x:v>
      </x:c>
      <x:c r="C59" s="42" t="str">
        <x:v>Uhr</x:v>
      </x:c>
      <x:c r="D59" s="42" t="str">
        <x:v>Typischer Veranstaltungstag</x:v>
      </x:c>
    </x:row>
    <x:row r="60">
      <x:c r="A60" s="42" t="str">
        <x:v>Tagung Ende</x:v>
      </x:c>
      <x:c r="B60" s="205" t="str">
        <x:v>17:00</x:v>
      </x:c>
      <x:c r="C60" s="42" t="str">
        <x:v>Uhr</x:v>
      </x:c>
      <x:c r="D60" s="42" t="str">
        <x:v>Typischer Veranstaltungstag</x:v>
      </x:c>
    </x:row>
    <x:row r="61">
      <x:c r="A61" s="42" t="str">
        <x:v>Tagungsräume verfügbar</x:v>
      </x:c>
      <x:c r="B61" s="205" t="n">
        <x:v>4</x:v>
      </x:c>
      <x:c r="C61" s="42" t="str">
        <x:v>Räume</x:v>
      </x:c>
      <x:c r="D61" s="42" t="str">
        <x:v>Je 100 m²</x:v>
      </x:c>
    </x:row>
    <x:row r="62">
      <x:c r="A62" s="42" t="str">
        <x:v>Typisch parallel genutzte Tagungsräume</x:v>
      </x:c>
      <x:c r="B62" s="205" t="n">
        <x:v>2</x:v>
      </x:c>
      <x:c r="C62" s="42" t="str">
        <x:v>Räume</x:v>
      </x:c>
      <x:c r="D62" s="42" t="str">
        <x:v>KISS-Annahme aus Angabe 'mehrere Räume parallel'; später leicht änderbar</x:v>
      </x:c>
    </x:row>
    <x:row r="63">
      <x:c r="A63" s="42" t="str">
        <x:v>Anteil Allgemeinfläche mit Bewegungsmelder</x:v>
      </x:c>
      <x:c r="B63" s="206" t="n">
        <x:v>0.8</x:v>
      </x:c>
      <x:c r="C63" s="42" t="str">
        <x:v>%</x:v>
      </x:c>
      <x:c r="D63" s="42" t="str">
        <x:v>Ca. 80 % der 400 m²</x:v>
      </x:c>
    </x:row>
    <x:row r="64">
      <x:c r="A64" s="42" t="str">
        <x:v>Außenbeleuchtung Ende</x:v>
      </x:c>
      <x:c r="B64" s="205" t="str">
        <x:v>23:00</x:v>
      </x:c>
      <x:c r="C64" s="42" t="str">
        <x:v>Uhr</x:v>
      </x:c>
      <x:c r="D64" s="42" t="str">
        <x:v>Start über Dunkelheit/Dämmerung</x:v>
      </x:c>
    </x:row>
    <x:row r="65">
      <x:c r="A65" s="42" t="str">
        <x:v>Ø Energie je Ladevorgang</x:v>
      </x:c>
      <x:c r="B65" s="205" t="n">
        <x:v>8</x:v>
      </x:c>
      <x:c r="C65" s="42" t="str">
        <x:v>kWh/Vorgang</x:v>
      </x:c>
      <x:c r="D65" s="42" t="str">
        <x:v>Konservativer Startwert für Hotel-Ladevorgang; später mit Ladehistorie ersetzen</x:v>
      </x:c>
    </x:row>
  </x:sheetData>
  <x:mergeCells>
    <x:mergeCell ref="A1:H1"/>
    <x:mergeCell ref="A3:H3"/>
    <x:mergeCell ref="A5:D5"/>
    <x:mergeCell ref="A22:E22"/>
    <x:mergeCell ref="A30:C30"/>
    <x:mergeCell ref="A38:D38"/>
    <x:mergeCell ref="F5:H5"/>
    <x:mergeCell ref="F22:I22"/>
    <x:mergeCell ref="A47:D47"/>
  </x:mergeCells>
  <x:dataValidations count="2">
    <x:dataValidation type="decimal" operator="between" sqref="B24:E27">
      <x:formula1>0</x:formula1>
      <x:formula2>1</x:formula2>
    </x:dataValidation>
    <x:dataValidation type="list" sqref="G25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24" hidden="0" customWidth="1"/>
    <x:col min="5" max="5" width="24" hidden="0" customWidth="1"/>
    <x:col min="6" max="6" width="22" hidden="0" customWidth="1"/>
    <x:col min="7" max="7" width="28" hidden="0" customWidth="1"/>
    <x:col min="8" max="8" width="10" hidden="0" customWidth="1"/>
    <x:col min="9" max="9" width="44" hidden="0" customWidth="1"/>
  </x:cols>
  <x:sheetData>
    <x:row r="1" ht="26" customHeight="1">
      <x:c r="A1" s="4" t="str">
        <x:v>Verbrauchergruppen – jede Gruppe erzeugt einen eigenen Lastgang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Nur Gruppen bilden, die energetisch oder für eine Investitionsentscheidung eigenständig relevant sind.</x:v>
      </x:c>
      <x:c r="B2" s="11"/>
      <x:c r="C2" s="11"/>
      <x:c r="D2" s="11"/>
      <x:c r="E2" s="11"/>
      <x:c r="F2" s="11"/>
      <x:c r="G2" s="11"/>
      <x:c r="H2" s="11"/>
    </x:row>
    <x:row r="3" ht="28" customHeight="1">
      <x:c r="A3" s="134" t="str">
        <x:v>gruppen_id</x:v>
      </x:c>
      <x:c r="B3" s="134" t="str">
        <x:v>verbrauchergruppe</x:v>
      </x:c>
      <x:c r="C3" s="134" t="str">
        <x:v>beschreibung</x:v>
      </x:c>
      <x:c r="D3" s="134" t="str">
        <x:v>treiber_1</x:v>
      </x:c>
      <x:c r="E3" s="134" t="str">
        <x:v>treiber_2</x:v>
      </x:c>
      <x:c r="F3" s="134" t="str">
        <x:v>profilart</x:v>
      </x:c>
      <x:c r="G3" s="134" t="str">
        <x:v>gleichzeitigkeitsfaktor_standard</x:v>
      </x:c>
      <x:c r="H3" s="134" t="str">
        <x:v>aktiv</x:v>
      </x:c>
      <x:c r="I3" s="134" t="str">
        <x:v>abgrenzung</x:v>
      </x:c>
    </x:row>
    <x:row r="4">
      <x:c r="A4" s="52" t="str">
        <x:v>VG_ZIM</x:v>
      </x:c>
      <x:c r="B4" s="52" t="str">
        <x:v>Zimmer</x:v>
      </x:c>
      <x:c r="C4" s="52" t="str">
        <x:v>Elektrische Verbraucher der Hotelzimmer</x:v>
      </x:c>
      <x:c r="D4" s="52" t="str">
        <x:v>belegte_zimmer</x:v>
      </x:c>
      <x:c r="E4" s="52" t="str">
        <x:v>hotel_auslastung</x:v>
      </x:c>
      <x:c r="F4" s="52" t="str">
        <x:v>REFERENZMODUL</x:v>
      </x:c>
      <x:c r="G4" s="141"/>
      <x:c r="H4" s="143" t="b">
        <x:v>1</x:v>
      </x:c>
      <x:c r="I4" t="str">
        <x:v>Musterzimmer × belegte Zimmer</x:v>
      </x:c>
    </x:row>
    <x:row r="5">
      <x:c r="A5" s="52" t="str">
        <x:v>VG_CHA</x:v>
      </x:c>
      <x:c r="B5" s="52" t="str">
        <x:v>Chalets</x:v>
      </x:c>
      <x:c r="C5" s="52" t="str">
        <x:v>Vier Chalets mit höherem Strombedarf</x:v>
      </x:c>
      <x:c r="D5" s="52" t="str">
        <x:v>belegte_chalets</x:v>
      </x:c>
      <x:c r="E5" s="52" t="str">
        <x:v>aussentemperatur</x:v>
      </x:c>
      <x:c r="F5" s="52" t="str">
        <x:v>SUMME_VERBRAUCHER</x:v>
      </x:c>
      <x:c r="G5" s="141"/>
      <x:c r="H5" s="143" t="b">
        <x:v>1</x:v>
      </x:c>
      <x:c r="I5" t="str">
        <x:v>Allgemein + elektrische Warmwasserbereitung + Heizen/Kühlen</x:v>
      </x:c>
    </x:row>
    <x:row r="6">
      <x:c r="A6" s="52" t="str">
        <x:v>VG_WEL</x:v>
      </x:c>
      <x:c r="B6" s="52" t="str">
        <x:v>Wellness</x:v>
      </x:c>
      <x:c r="C6" s="52" t="str">
        <x:v>Sauna, Pool- und wellnessbezogene Verbraucher</x:v>
      </x:c>
      <x:c r="D6" s="52" t="str">
        <x:v>sauna_gaeste_gesamt</x:v>
      </x:c>
      <x:c r="E6" s="52" t="str">
        <x:v>hausgaeste_gesamt</x:v>
      </x:c>
      <x:c r="F6" s="52" t="str">
        <x:v>SUMME_VERBRAUCHER</x:v>
      </x:c>
      <x:c r="G6" s="70" t="n">
        <x:v>0.65</x:v>
      </x:c>
      <x:c r="H6" s="143" t="b">
        <x:v>1</x:v>
      </x:c>
      <x:c r="I6" t="str">
        <x:v>Konservativer Startwert 0,65; Grundtechnik und Beleuchtung mit Override 1,0</x:v>
      </x:c>
    </x:row>
    <x:row r="7">
      <x:c r="A7" s="52" t="str">
        <x:v>VG_GAS</x:v>
      </x:c>
      <x:c r="B7" s="52" t="str">
        <x:v>Gastronomie</x:v>
      </x:c>
      <x:c r="C7" s="52" t="str">
        <x:v>Küche, Restaurant, Kühlung und Spültechnik</x:v>
      </x:c>
      <x:c r="D7" s="52" t="str">
        <x:v>fruehstueck_gaeste_gesamt</x:v>
      </x:c>
      <x:c r="E7" s="52" t="str">
        <x:v>abendessen_gaeste_gesamt</x:v>
      </x:c>
      <x:c r="F7" s="52" t="str">
        <x:v>SUMME_VERBRAUCHER</x:v>
      </x:c>
      <x:c r="G7" s="70" t="n">
        <x:v>0.45</x:v>
      </x:c>
      <x:c r="H7" s="143" t="b">
        <x:v>1</x:v>
      </x:c>
      <x:c r="I7" t="str">
        <x:v>Konservativer Startwert 0,45; installierte Leistungen unverändert, reale 15-min-Nutzung über reduzierte Lastfaktoren abgebildet</x:v>
      </x:c>
    </x:row>
    <x:row r="8">
      <x:c r="A8" s="52" t="str">
        <x:v>VG_TAG</x:v>
      </x:c>
      <x:c r="B8" s="52" t="str">
        <x:v>Tagung</x:v>
      </x:c>
      <x:c r="C8" s="52" t="str">
        <x:v>Tagungsräume und Veranstaltungstechnik</x:v>
      </x:c>
      <x:c r="D8" s="52" t="str">
        <x:v>veranstaltung_gaeste</x:v>
      </x:c>
      <x:c r="E8" s="52" t="str">
        <x:v>tagung_aktiv</x:v>
      </x:c>
      <x:c r="F8" s="52" t="str">
        <x:v>SUMME_VERBRAUCHER</x:v>
      </x:c>
      <x:c r="G8" s="70" t="n">
        <x:v>0.8</x:v>
      </x:c>
      <x:c r="H8" s="143" t="b">
        <x:v>1</x:v>
      </x:c>
      <x:c r="I8" t="str">
        <x:v>4 Räume à 100 m² und 30 Arbeitsplätze; 2 Räume klimatisiert; Standard-Gleichzeitigkeit 0,80</x:v>
      </x:c>
    </x:row>
    <x:row r="9">
      <x:c r="A9" s="52" t="str">
        <x:v>VG_HAU</x:v>
      </x:c>
      <x:c r="B9" s="52" t="str">
        <x:v>Haustechnik</x:v>
      </x:c>
      <x:c r="C9" s="52" t="str">
        <x:v>Zentrale technische Grundlast</x:v>
      </x:c>
      <x:c r="D9" s="52" t="str">
        <x:v>waermebedarf_normiert</x:v>
      </x:c>
      <x:c r="E9" s="52" t="str">
        <x:v>prozesswaermebedarf_normiert</x:v>
      </x:c>
      <x:c r="F9" s="52" t="str">
        <x:v>SUMME_VERBRAUCHER</x:v>
      </x:c>
      <x:c r="G9" s="70" t="n">
        <x:v>1</x:v>
      </x:c>
      <x:c r="H9" s="143" t="b">
        <x:v>1</x:v>
      </x:c>
      <x:c r="I9" t="str">
        <x:v>Wärmeerzeuger-Hilfsenergie + 8 kW Pumpentechnik; thermische Lasten später gekoppelt</x:v>
      </x:c>
    </x:row>
    <x:row r="10">
      <x:c r="A10" s="52" t="str">
        <x:v>VG_LAD</x:v>
      </x:c>
      <x:c r="B10" s="52" t="str">
        <x:v>Ladestationen</x:v>
      </x:c>
      <x:c r="C10" s="52" t="str">
        <x:v>Ladepunkte für Elektrofahrzeuge</x:v>
      </x:c>
      <x:c r="D10" s="52" t="str">
        <x:v>ladevorgaenge</x:v>
      </x:c>
      <x:c r="E10" s="52" t="str">
        <x:v>hotel_auslastung</x:v>
      </x:c>
      <x:c r="F10" s="52" t="str">
        <x:v>EVENT/MEASURED</x:v>
      </x:c>
      <x:c r="G10" s="70" t="n">
        <x:v>1</x:v>
      </x:c>
      <x:c r="H10" s="143" t="b">
        <x:v>1</x:v>
      </x:c>
      <x:c r="I10" t="str">
        <x:v>Eine 22-kW-Ladestation; eventbasiert. Lastabwurf bei Überlast bleibt als Betriebslogik erhalten.</x:v>
      </x:c>
    </x:row>
    <x:row r="11">
      <x:c r="A11" s="52" t="str">
        <x:v>VG_AUS</x:v>
      </x:c>
      <x:c r="B11" s="52" t="str">
        <x:v>Außenanlage</x:v>
      </x:c>
      <x:c r="C11" s="52" t="str">
        <x:v>Außenbeleuchtung und sonstige Außenverbraucher</x:v>
      </x:c>
      <x:c r="D11" s="52" t="str">
        <x:v>dunkelheit</x:v>
      </x:c>
      <x:c r="E11" s="52" t="str">
        <x:v>tageszeit</x:v>
      </x:c>
      <x:c r="F11" s="52" t="str">
        <x:v>SUMME_VERBRAUCHER</x:v>
      </x:c>
      <x:c r="G11" s="70" t="n">
        <x:v>1</x:v>
      </x:c>
      <x:c r="H11" s="143" t="b">
        <x:v>1</x:v>
      </x:c>
      <x:c r="I11" t="str">
        <x:v>40 LED-Außenleuchten/Moonlights; Dämmerung bis 23:00</x:v>
      </x:c>
    </x:row>
    <x:row r="12">
      <x:c r="A12" s="52" t="str">
        <x:v>VG_ALL</x:v>
      </x:c>
      <x:c r="B12" s="52" t="str">
        <x:v>Allgemeinbereiche</x:v>
      </x:c>
      <x:c r="C12" s="52" t="str">
        <x:v>Lobby, Flure, Rezeption/Büro</x:v>
      </x:c>
      <x:c r="D12" s="52" t="str">
        <x:v>hotel_auslastung</x:v>
      </x:c>
      <x:c r="E12" s="52" t="str">
        <x:v>tageszeit</x:v>
      </x:c>
      <x:c r="F12" s="52" t="str">
        <x:v>SUMME_VERBRAUCHER</x:v>
      </x:c>
      <x:c r="G12" s="70" t="n">
        <x:v>1</x:v>
      </x:c>
      <x:c r="H12" s="143" t="b">
        <x:v>1</x:v>
      </x:c>
      <x:c r="I12" t="str">
        <x:v>400 m²: 80 % Bewegungsmelder, 20 % übrige Allgemeinbeleuchtung</x:v>
      </x:c>
    </x:row>
    <x:row r="13">
      <x:c r="A13" s="52" t="str">
        <x:v>VG_HAW</x:v>
      </x:c>
      <x:c r="B13" s="52" t="str">
        <x:v>Hauswirtschaft/Wäscherei</x:v>
      </x:c>
      <x:c r="C13" s="52" t="str">
        <x:v>Wäschepflege und Hauswirtschaft</x:v>
      </x:c>
      <x:c r="D13" s="52" t="str">
        <x:v>waescherei_betrieb</x:v>
      </x:c>
      <x:c r="E13" s="52" t="str">
        <x:v>saison</x:v>
      </x:c>
      <x:c r="F13" s="52" t="str">
        <x:v>SUMME_VERBRAUCHER</x:v>
      </x:c>
      <x:c r="G13" s="70" t="n">
        <x:v>0.8</x:v>
      </x:c>
      <x:c r="H13" s="143" t="b">
        <x:v>1</x:v>
      </x:c>
      <x:c r="I13" t="str">
        <x:v>Maschinen einzeln erfasst; 10:00–17:00. Standard-Gleichzeitigkeit 0,80, objektspezifische Overrides bei den Maschinen.</x:v>
      </x:c>
    </x:row>
    <x:row r="14">
      <x:c r="A14" s="125" t="str">
        <x:v>VG_KIR</x:v>
      </x:c>
      <x:c r="B14" s="125" t="str">
        <x:v>Kirchberghütte</x:v>
      </x:c>
      <x:c r="C14" s="125" t="str">
        <x:v>Separate Gruppenunterkunft; eigener Stromverbrauch und eigene Auslastung</x:v>
      </x:c>
      <x:c r="D14" s="125" t="str">
        <x:v>kirchberghuette_belegt</x:v>
      </x:c>
      <x:c r="E14" s="125"/>
      <x:c r="F14" s="125" t="str">
        <x:v>SUMME_VERBRAUCHER</x:v>
      </x:c>
      <x:c r="G14" s="142" t="n">
        <x:v>0.45</x:v>
      </x:c>
      <x:c r="H14" s="144" t="b">
        <x:v>1</x:v>
      </x:c>
      <x:c r="I14" t="str">
        <x:v>Binär belegt/nicht belegt; Heizung und Warmwasser ohne elektrischen Verbrauch</x:v>
      </x:c>
    </x:row>
    <x:row r="15">
      <x:c r="A15" s="98"/>
      <x:c r="B15" s="98"/>
      <x:c r="C15" s="98"/>
      <x:c r="D15" s="98"/>
      <x:c r="E15" s="98"/>
      <x:c r="F15" s="98"/>
      <x:c r="G15" s="98"/>
      <x:c r="H15" s="98"/>
    </x:row>
    <x:row r="16">
      <x:c r="A16" s="98"/>
      <x:c r="B16" s="98"/>
      <x:c r="C16" s="98"/>
      <x:c r="D16" s="98"/>
      <x:c r="E16" s="98"/>
      <x:c r="F16" s="98"/>
      <x:c r="G16" s="98"/>
      <x:c r="H16" s="98"/>
    </x:row>
    <x:row r="17">
      <x:c r="A17" s="98"/>
      <x:c r="B17" s="98"/>
      <x:c r="C17" s="98"/>
      <x:c r="D17" s="98"/>
      <x:c r="E17" s="98"/>
      <x:c r="F17" s="98"/>
      <x:c r="G17" s="98"/>
      <x:c r="H17" s="98"/>
    </x:row>
    <x:row r="18">
      <x:c r="A18" s="98"/>
      <x:c r="B18" s="98"/>
      <x:c r="C18" s="98"/>
      <x:c r="D18" s="98"/>
      <x:c r="E18" s="98"/>
      <x:c r="F18" s="98"/>
      <x:c r="G18" s="98"/>
      <x:c r="H18" s="98"/>
    </x:row>
    <x:row r="19">
      <x:c r="A19" s="98"/>
      <x:c r="B19" s="98"/>
      <x:c r="C19" s="98"/>
      <x:c r="D19" s="98"/>
      <x:c r="E19" s="98"/>
      <x:c r="F19" s="98"/>
      <x:c r="G19" s="98"/>
      <x:c r="H19" s="98"/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>
      <x:c r="A23" s="98"/>
      <x:c r="B23" s="98"/>
      <x:c r="C23" s="98"/>
      <x:c r="D23" s="98"/>
      <x:c r="E23" s="98"/>
      <x:c r="F23" s="98"/>
      <x:c r="G23" s="98"/>
      <x:c r="H23" s="98"/>
    </x:row>
    <x:row r="24">
      <x:c r="A24" s="98"/>
      <x:c r="B24" s="98"/>
      <x:c r="C24" s="98"/>
      <x:c r="D24" s="98"/>
      <x:c r="E24" s="98"/>
      <x:c r="F24" s="98"/>
      <x:c r="G24" s="98"/>
      <x:c r="H24" s="98"/>
    </x:row>
    <x:row r="25">
      <x:c r="A25" s="98"/>
      <x:c r="B25" s="98"/>
      <x:c r="C25" s="98"/>
      <x:c r="D25" s="98"/>
      <x:c r="E25" s="98"/>
      <x:c r="F25" s="98"/>
      <x:c r="G25" s="98"/>
      <x:c r="H25" s="98"/>
    </x:row>
    <x:row r="26">
      <x:c r="A26" s="98"/>
      <x:c r="B26" s="98"/>
      <x:c r="C26" s="98"/>
      <x:c r="D26" s="98"/>
      <x:c r="E26" s="98"/>
      <x:c r="F26" s="98"/>
      <x:c r="G26" s="98"/>
      <x:c r="H26" s="98"/>
    </x:row>
    <x:row r="27">
      <x:c r="A27" s="98"/>
      <x:c r="B27" s="98"/>
      <x:c r="C27" s="98"/>
      <x:c r="D27" s="98"/>
      <x:c r="E27" s="98"/>
      <x:c r="F27" s="98"/>
      <x:c r="G27" s="98"/>
      <x:c r="H27" s="98"/>
    </x:row>
    <x:row r="28">
      <x:c r="A28" s="98"/>
      <x:c r="B28" s="98"/>
      <x:c r="C28" s="98"/>
      <x:c r="D28" s="98"/>
      <x:c r="E28" s="98"/>
      <x:c r="F28" s="98"/>
      <x:c r="G28" s="98"/>
      <x:c r="H28" s="98"/>
    </x:row>
    <x:row r="29">
      <x:c r="A29" s="98"/>
      <x:c r="B29" s="98"/>
      <x:c r="C29" s="98"/>
      <x:c r="D29" s="98"/>
      <x:c r="E29" s="98"/>
      <x:c r="F29" s="98"/>
      <x:c r="G29" s="98"/>
      <x:c r="H29" s="98"/>
    </x:row>
    <x:row r="30">
      <x:c r="A30" s="98"/>
      <x:c r="B30" s="98"/>
      <x:c r="C30" s="98"/>
      <x:c r="D30" s="98"/>
      <x:c r="E30" s="98"/>
      <x:c r="F30" s="98"/>
      <x:c r="G30" s="98"/>
      <x:c r="H30" s="98"/>
    </x:row>
    <x:row r="31">
      <x:c r="A31" s="98"/>
      <x:c r="B31" s="98"/>
      <x:c r="C31" s="98"/>
      <x:c r="D31" s="98"/>
      <x:c r="E31" s="98"/>
      <x:c r="F31" s="98"/>
      <x:c r="G31" s="98"/>
      <x:c r="H31" s="98"/>
    </x:row>
    <x:row r="32">
      <x:c r="A32" s="98"/>
      <x:c r="B32" s="98"/>
      <x:c r="C32" s="98"/>
      <x:c r="D32" s="98"/>
      <x:c r="E32" s="98"/>
      <x:c r="F32" s="98"/>
      <x:c r="G32" s="98"/>
      <x:c r="H32" s="98"/>
    </x:row>
    <x:row r="33">
      <x:c r="A33" s="98"/>
      <x:c r="B33" s="98"/>
      <x:c r="C33" s="98"/>
      <x:c r="D33" s="98"/>
      <x:c r="E33" s="98"/>
      <x:c r="F33" s="98"/>
      <x:c r="G33" s="98"/>
      <x:c r="H33" s="98"/>
    </x:row>
    <x:row r="34">
      <x:c r="A34" s="98"/>
      <x:c r="B34" s="98"/>
      <x:c r="C34" s="98"/>
      <x:c r="D34" s="98"/>
      <x:c r="E34" s="98"/>
      <x:c r="F34" s="98"/>
      <x:c r="G34" s="98"/>
      <x:c r="H34" s="98"/>
    </x:row>
    <x:row r="35">
      <x:c r="A35" s="98"/>
      <x:c r="B35" s="98"/>
      <x:c r="C35" s="98"/>
      <x:c r="D35" s="98"/>
      <x:c r="E35" s="98"/>
      <x:c r="F35" s="98"/>
      <x:c r="G35" s="98"/>
      <x:c r="H35" s="98"/>
    </x:row>
    <x:row r="36">
      <x:c r="A36" s="98"/>
      <x:c r="B36" s="98"/>
      <x:c r="C36" s="98"/>
      <x:c r="D36" s="98"/>
      <x:c r="E36" s="98"/>
      <x:c r="F36" s="98"/>
      <x:c r="G36" s="98"/>
      <x:c r="H36" s="98"/>
    </x:row>
    <x:row r="37">
      <x:c r="A37" s="98"/>
      <x:c r="B37" s="98"/>
      <x:c r="C37" s="98"/>
      <x:c r="D37" s="98"/>
      <x:c r="E37" s="98"/>
      <x:c r="F37" s="98"/>
      <x:c r="G37" s="98"/>
      <x:c r="H37" s="98"/>
    </x:row>
    <x:row r="38">
      <x:c r="A38" s="98"/>
      <x:c r="B38" s="98"/>
      <x:c r="C38" s="98"/>
      <x:c r="D38" s="98"/>
      <x:c r="E38" s="98"/>
      <x:c r="F38" s="98"/>
      <x:c r="G38" s="98"/>
      <x:c r="H38" s="98"/>
    </x:row>
    <x:row r="39">
      <x:c r="A39" s="98"/>
      <x:c r="B39" s="98"/>
      <x:c r="C39" s="98"/>
      <x:c r="D39" s="98"/>
      <x:c r="E39" s="98"/>
      <x:c r="F39" s="98"/>
      <x:c r="G39" s="98"/>
      <x:c r="H39" s="98"/>
    </x:row>
    <x:row r="40">
      <x:c r="A40" s="98"/>
      <x:c r="B40" s="98"/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  <x:row r="51">
      <x:c r="A51" s="98"/>
      <x:c r="B51" s="98"/>
      <x:c r="C51" s="98"/>
      <x:c r="D51" s="98"/>
      <x:c r="E51" s="98"/>
      <x:c r="F51" s="98"/>
      <x:c r="G51" s="98"/>
      <x:c r="H51" s="98"/>
    </x:row>
    <x:row r="52">
      <x:c r="A52" s="98"/>
      <x:c r="B52" s="98"/>
      <x:c r="C52" s="98"/>
      <x:c r="D52" s="98"/>
      <x:c r="E52" s="98"/>
      <x:c r="F52" s="98"/>
      <x:c r="G52" s="98"/>
      <x:c r="H52" s="98"/>
    </x:row>
    <x:row r="53">
      <x:c r="A53" s="98"/>
      <x:c r="B53" s="98"/>
      <x:c r="C53" s="98"/>
      <x:c r="D53" s="98"/>
      <x:c r="E53" s="98"/>
      <x:c r="F53" s="98"/>
      <x:c r="G53" s="98"/>
      <x:c r="H53" s="98"/>
    </x:row>
    <x:row r="54">
      <x:c r="A54" s="98"/>
      <x:c r="B54" s="98"/>
      <x:c r="C54" s="98"/>
      <x:c r="D54" s="98"/>
      <x:c r="E54" s="98"/>
      <x:c r="F54" s="98"/>
      <x:c r="G54" s="98"/>
      <x:c r="H54" s="98"/>
    </x:row>
    <x:row r="55">
      <x:c r="A55" s="98"/>
      <x:c r="B55" s="98"/>
      <x:c r="C55" s="98"/>
      <x:c r="D55" s="98"/>
      <x:c r="E55" s="98"/>
      <x:c r="F55" s="98"/>
      <x:c r="G55" s="98"/>
      <x:c r="H55" s="98"/>
    </x:row>
    <x:row r="56">
      <x:c r="A56" s="98"/>
      <x:c r="B56" s="98"/>
      <x:c r="C56" s="98"/>
      <x:c r="D56" s="98"/>
      <x:c r="E56" s="98"/>
      <x:c r="F56" s="98"/>
      <x:c r="G56" s="98"/>
      <x:c r="H56" s="98"/>
    </x:row>
    <x:row r="57">
      <x:c r="A57" s="98"/>
      <x:c r="B57" s="98"/>
      <x:c r="C57" s="98"/>
      <x:c r="D57" s="98"/>
      <x:c r="E57" s="98"/>
      <x:c r="F57" s="98"/>
      <x:c r="G57" s="98"/>
      <x:c r="H57" s="98"/>
    </x:row>
    <x:row r="58">
      <x:c r="A58" s="98"/>
      <x:c r="B58" s="98"/>
      <x:c r="C58" s="98"/>
      <x:c r="D58" s="98"/>
      <x:c r="E58" s="98"/>
      <x:c r="F58" s="98"/>
      <x:c r="G58" s="98"/>
      <x:c r="H58" s="98"/>
    </x:row>
    <x:row r="59">
      <x:c r="A59" s="98"/>
      <x:c r="B59" s="98"/>
      <x:c r="C59" s="98"/>
      <x:c r="D59" s="98"/>
      <x:c r="E59" s="98"/>
      <x:c r="F59" s="98"/>
      <x:c r="G59" s="98"/>
      <x:c r="H59" s="98"/>
    </x:row>
    <x:row r="60">
      <x:c r="A60" s="98"/>
      <x:c r="B60" s="98"/>
      <x:c r="C60" s="98"/>
      <x:c r="D60" s="98"/>
      <x:c r="E60" s="98"/>
      <x:c r="F60" s="98"/>
      <x:c r="G60" s="98"/>
      <x:c r="H60" s="98"/>
    </x:row>
    <x:row r="61">
      <x:c r="A61" s="98"/>
      <x:c r="B61" s="98"/>
      <x:c r="C61" s="98"/>
      <x:c r="D61" s="98"/>
      <x:c r="E61" s="98"/>
      <x:c r="F61" s="98"/>
      <x:c r="G61" s="98"/>
      <x:c r="H61" s="98"/>
    </x:row>
    <x:row r="62">
      <x:c r="A62" s="98"/>
      <x:c r="B62" s="98"/>
      <x:c r="C62" s="98"/>
      <x:c r="D62" s="98"/>
      <x:c r="E62" s="98"/>
      <x:c r="F62" s="98"/>
      <x:c r="G62" s="98"/>
      <x:c r="H62" s="98"/>
    </x:row>
    <x:row r="63">
      <x:c r="A63" s="98"/>
      <x:c r="B63" s="98"/>
      <x:c r="C63" s="98"/>
      <x:c r="D63" s="98"/>
      <x:c r="E63" s="98"/>
      <x:c r="F63" s="98"/>
      <x:c r="G63" s="98"/>
      <x:c r="H63" s="98"/>
    </x:row>
    <x:row r="64">
      <x:c r="A64" s="98"/>
      <x:c r="B64" s="98"/>
      <x:c r="C64" s="98"/>
      <x:c r="D64" s="98"/>
      <x:c r="E64" s="98"/>
      <x:c r="F64" s="98"/>
      <x:c r="G64" s="98"/>
      <x:c r="H64" s="98"/>
    </x:row>
    <x:row r="65">
      <x:c r="A65" s="98"/>
      <x:c r="B65" s="98"/>
      <x:c r="C65" s="98"/>
      <x:c r="D65" s="98"/>
      <x:c r="E65" s="98"/>
      <x:c r="F65" s="98"/>
      <x:c r="G65" s="98"/>
      <x:c r="H65" s="98"/>
    </x:row>
    <x:row r="66">
      <x:c r="A66" s="98"/>
      <x:c r="B66" s="98"/>
      <x:c r="C66" s="98"/>
      <x:c r="D66" s="98"/>
      <x:c r="E66" s="98"/>
      <x:c r="F66" s="98"/>
      <x:c r="G66" s="98"/>
      <x:c r="H66" s="98"/>
    </x:row>
    <x:row r="67">
      <x:c r="A67" s="98"/>
      <x:c r="B67" s="98"/>
      <x:c r="C67" s="98"/>
      <x:c r="D67" s="98"/>
      <x:c r="E67" s="98"/>
      <x:c r="F67" s="98"/>
      <x:c r="G67" s="98"/>
      <x:c r="H67" s="98"/>
    </x:row>
    <x:row r="68">
      <x:c r="A68" s="98"/>
      <x:c r="B68" s="98"/>
      <x:c r="C68" s="98"/>
      <x:c r="D68" s="98"/>
      <x:c r="E68" s="98"/>
      <x:c r="F68" s="98"/>
      <x:c r="G68" s="98"/>
      <x:c r="H68" s="98"/>
    </x:row>
    <x:row r="69">
      <x:c r="A69" s="98"/>
      <x:c r="B69" s="98"/>
      <x:c r="C69" s="98"/>
      <x:c r="D69" s="98"/>
      <x:c r="E69" s="98"/>
      <x:c r="F69" s="98"/>
      <x:c r="G69" s="98"/>
      <x:c r="H69" s="98"/>
    </x:row>
    <x:row r="70">
      <x:c r="A70" s="98"/>
      <x:c r="B70" s="98"/>
      <x:c r="C70" s="98"/>
      <x:c r="D70" s="98"/>
      <x:c r="E70" s="98"/>
      <x:c r="F70" s="98"/>
      <x:c r="G70" s="98"/>
      <x:c r="H70" s="98"/>
    </x:row>
    <x:row r="71">
      <x:c r="A71" s="98"/>
      <x:c r="B71" s="98"/>
      <x:c r="C71" s="98"/>
      <x:c r="D71" s="98"/>
      <x:c r="E71" s="98"/>
      <x:c r="F71" s="98"/>
      <x:c r="G71" s="98"/>
      <x:c r="H71" s="98"/>
    </x:row>
    <x:row r="72">
      <x:c r="A72" s="98"/>
      <x:c r="B72" s="98"/>
      <x:c r="C72" s="98"/>
      <x:c r="D72" s="98"/>
      <x:c r="E72" s="98"/>
      <x:c r="F72" s="98"/>
      <x:c r="G72" s="98"/>
      <x:c r="H72" s="98"/>
    </x:row>
    <x:row r="73">
      <x:c r="A73" s="98"/>
      <x:c r="B73" s="98"/>
      <x:c r="C73" s="98"/>
      <x:c r="D73" s="98"/>
      <x:c r="E73" s="98"/>
      <x:c r="F73" s="98"/>
      <x:c r="G73" s="98"/>
      <x:c r="H73" s="98"/>
    </x:row>
    <x:row r="74">
      <x:c r="A74" s="98"/>
      <x:c r="B74" s="98"/>
      <x:c r="C74" s="98"/>
      <x:c r="D74" s="98"/>
      <x:c r="E74" s="98"/>
      <x:c r="F74" s="98"/>
      <x:c r="G74" s="98"/>
      <x:c r="H74" s="98"/>
    </x:row>
    <x:row r="75">
      <x:c r="A75" s="98"/>
      <x:c r="B75" s="98"/>
      <x:c r="C75" s="98"/>
      <x:c r="D75" s="98"/>
      <x:c r="E75" s="98"/>
      <x:c r="F75" s="98"/>
      <x:c r="G75" s="98"/>
      <x:c r="H75" s="98"/>
    </x:row>
    <x:row r="76">
      <x:c r="A76" s="98"/>
      <x:c r="B76" s="98"/>
      <x:c r="C76" s="98"/>
      <x:c r="D76" s="98"/>
      <x:c r="E76" s="98"/>
      <x:c r="F76" s="98"/>
      <x:c r="G76" s="98"/>
      <x:c r="H76" s="98"/>
    </x:row>
    <x:row r="77">
      <x:c r="A77" s="98"/>
      <x:c r="B77" s="98"/>
      <x:c r="C77" s="98"/>
      <x:c r="D77" s="98"/>
      <x:c r="E77" s="98"/>
      <x:c r="F77" s="98"/>
      <x:c r="G77" s="98"/>
      <x:c r="H77" s="98"/>
    </x:row>
    <x:row r="78">
      <x:c r="A78" s="98"/>
      <x:c r="B78" s="98"/>
      <x:c r="C78" s="98"/>
      <x:c r="D78" s="98"/>
      <x:c r="E78" s="98"/>
      <x:c r="F78" s="98"/>
      <x:c r="G78" s="98"/>
      <x:c r="H78" s="98"/>
    </x:row>
    <x:row r="79">
      <x:c r="A79" s="98"/>
      <x:c r="B79" s="98"/>
      <x:c r="C79" s="98"/>
      <x:c r="D79" s="98"/>
      <x:c r="E79" s="98"/>
      <x:c r="F79" s="98"/>
      <x:c r="G79" s="98"/>
      <x:c r="H79" s="98"/>
    </x:row>
    <x:row r="80">
      <x:c r="A80" s="98"/>
      <x:c r="B80" s="98"/>
      <x:c r="C80" s="98"/>
      <x:c r="D80" s="98"/>
      <x:c r="E80" s="98"/>
      <x:c r="F80" s="98"/>
      <x:c r="G80" s="98"/>
      <x:c r="H80" s="98"/>
    </x:row>
    <x:row r="81">
      <x:c r="A81" s="98"/>
      <x:c r="B81" s="98"/>
      <x:c r="C81" s="98"/>
      <x:c r="D81" s="98"/>
      <x:c r="E81" s="98"/>
      <x:c r="F81" s="98"/>
      <x:c r="G81" s="98"/>
      <x:c r="H81" s="98"/>
    </x:row>
    <x:row r="82">
      <x:c r="A82" s="98"/>
      <x:c r="B82" s="98"/>
      <x:c r="C82" s="98"/>
      <x:c r="D82" s="98"/>
      <x:c r="E82" s="98"/>
      <x:c r="F82" s="98"/>
      <x:c r="G82" s="98"/>
      <x:c r="H82" s="98"/>
    </x:row>
    <x:row r="83">
      <x:c r="A83" s="98"/>
      <x:c r="B83" s="98"/>
      <x:c r="C83" s="98"/>
      <x:c r="D83" s="98"/>
      <x:c r="E83" s="98"/>
      <x:c r="F83" s="98"/>
      <x:c r="G83" s="98"/>
      <x:c r="H83" s="98"/>
    </x:row>
    <x:row r="84">
      <x:c r="A84" s="98"/>
      <x:c r="B84" s="98"/>
      <x:c r="C84" s="98"/>
      <x:c r="D84" s="98"/>
      <x:c r="E84" s="98"/>
      <x:c r="F84" s="98"/>
      <x:c r="G84" s="98"/>
      <x:c r="H84" s="98"/>
    </x:row>
    <x:row r="85">
      <x:c r="A85" s="98"/>
      <x:c r="B85" s="98"/>
      <x:c r="C85" s="98"/>
      <x:c r="D85" s="98"/>
      <x:c r="E85" s="98"/>
      <x:c r="F85" s="98"/>
      <x:c r="G85" s="98"/>
      <x:c r="H85" s="98"/>
    </x:row>
    <x:row r="86">
      <x:c r="A86" s="98"/>
      <x:c r="B86" s="98"/>
      <x:c r="C86" s="98"/>
      <x:c r="D86" s="98"/>
      <x:c r="E86" s="98"/>
      <x:c r="F86" s="98"/>
      <x:c r="G86" s="98"/>
      <x:c r="H86" s="98"/>
    </x:row>
    <x:row r="87">
      <x:c r="A87" s="98"/>
      <x:c r="B87" s="98"/>
      <x:c r="C87" s="98"/>
      <x:c r="D87" s="98"/>
      <x:c r="E87" s="98"/>
      <x:c r="F87" s="98"/>
      <x:c r="G87" s="98"/>
      <x:c r="H87" s="98"/>
    </x:row>
    <x:row r="88">
      <x:c r="A88" s="98"/>
      <x:c r="B88" s="98"/>
      <x:c r="C88" s="98"/>
      <x:c r="D88" s="98"/>
      <x:c r="E88" s="98"/>
      <x:c r="F88" s="98"/>
      <x:c r="G88" s="98"/>
      <x:c r="H88" s="98"/>
    </x:row>
    <x:row r="89">
      <x:c r="A89" s="98"/>
      <x:c r="B89" s="98"/>
      <x:c r="C89" s="98"/>
      <x:c r="D89" s="98"/>
      <x:c r="E89" s="98"/>
      <x:c r="F89" s="98"/>
      <x:c r="G89" s="98"/>
      <x:c r="H89" s="98"/>
    </x:row>
    <x:row r="90">
      <x:c r="A90" s="98"/>
      <x:c r="B90" s="98"/>
      <x:c r="C90" s="98"/>
      <x:c r="D90" s="98"/>
      <x:c r="E90" s="98"/>
      <x:c r="F90" s="98"/>
      <x:c r="G90" s="98"/>
      <x:c r="H90" s="98"/>
    </x:row>
    <x:row r="91">
      <x:c r="A91" s="98"/>
      <x:c r="B91" s="98"/>
      <x:c r="C91" s="98"/>
      <x:c r="D91" s="98"/>
      <x:c r="E91" s="98"/>
      <x:c r="F91" s="98"/>
      <x:c r="G91" s="98"/>
      <x:c r="H91" s="98"/>
    </x:row>
    <x:row r="92">
      <x:c r="A92" s="98"/>
      <x:c r="B92" s="98"/>
      <x:c r="C92" s="98"/>
      <x:c r="D92" s="98"/>
      <x:c r="E92" s="98"/>
      <x:c r="F92" s="98"/>
      <x:c r="G92" s="98"/>
      <x:c r="H92" s="98"/>
    </x:row>
    <x:row r="93">
      <x:c r="A93" s="98"/>
      <x:c r="B93" s="98"/>
      <x:c r="C93" s="98"/>
      <x:c r="D93" s="98"/>
      <x:c r="E93" s="98"/>
      <x:c r="F93" s="98"/>
      <x:c r="G93" s="98"/>
      <x:c r="H93" s="98"/>
    </x:row>
    <x:row r="94">
      <x:c r="A94" s="98"/>
      <x:c r="B94" s="98"/>
      <x:c r="C94" s="98"/>
      <x:c r="D94" s="98"/>
      <x:c r="E94" s="98"/>
      <x:c r="F94" s="98"/>
      <x:c r="G94" s="98"/>
      <x:c r="H94" s="98"/>
    </x:row>
    <x:row r="95">
      <x:c r="A95" s="98"/>
      <x:c r="B95" s="98"/>
      <x:c r="C95" s="98"/>
      <x:c r="D95" s="98"/>
      <x:c r="E95" s="98"/>
      <x:c r="F95" s="98"/>
      <x:c r="G95" s="98"/>
      <x:c r="H95" s="98"/>
    </x:row>
    <x:row r="96">
      <x:c r="A96" s="98"/>
      <x:c r="B96" s="98"/>
      <x:c r="C96" s="98"/>
      <x:c r="D96" s="98"/>
      <x:c r="E96" s="98"/>
      <x:c r="F96" s="98"/>
      <x:c r="G96" s="98"/>
      <x:c r="H96" s="98"/>
    </x:row>
    <x:row r="97">
      <x:c r="A97" s="98"/>
      <x:c r="B97" s="98"/>
      <x:c r="C97" s="98"/>
      <x:c r="D97" s="98"/>
      <x:c r="E97" s="98"/>
      <x:c r="F97" s="98"/>
      <x:c r="G97" s="98"/>
      <x:c r="H97" s="98"/>
    </x:row>
    <x:row r="98">
      <x:c r="A98" s="98"/>
      <x:c r="B98" s="98"/>
      <x:c r="C98" s="98"/>
      <x:c r="D98" s="98"/>
      <x:c r="E98" s="98"/>
      <x:c r="F98" s="98"/>
      <x:c r="G98" s="98"/>
      <x:c r="H98" s="98"/>
    </x:row>
    <x:row r="99">
      <x:c r="A99" s="98"/>
      <x:c r="B99" s="98"/>
      <x:c r="C99" s="98"/>
      <x:c r="D99" s="98"/>
      <x:c r="E99" s="98"/>
      <x:c r="F99" s="98"/>
      <x:c r="G99" s="98"/>
      <x:c r="H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</x:row>
  </x:sheetData>
  <x:mergeCells>
    <x:mergeCell ref="A1:H1"/>
    <x:mergeCell ref="A2:H2"/>
  </x:mergeCells>
  <x:dataValidations count="3">
    <x:dataValidation type="list" sqref="G4:G100">
      <x:formula1>"true,false"</x:formula1>
    </x:dataValidation>
    <x:dataValidation type="list" sqref="G14">
      <x:formula1>"true,false"</x:formula1>
    </x:dataValidation>
    <x:dataValidation type="list" sqref="H4:H1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4" hidden="0" customWidth="1"/>
    <x:col min="4" max="4" width="18" hidden="0" customWidth="1"/>
    <x:col min="5" max="5" width="13" hidden="0" customWidth="1"/>
    <x:col min="6" max="6" width="9" hidden="0" customWidth="1"/>
    <x:col min="7" max="7" width="14" hidden="0" customWidth="1"/>
    <x:col min="8" max="8" width="30" hidden="0" customWidth="1"/>
    <x:col min="9" max="9" width="14" hidden="0" customWidth="1"/>
    <x:col min="10" max="10" width="26" hidden="0" customWidth="1"/>
    <x:col min="11" max="11" width="26" hidden="0" customWidth="1"/>
    <x:col min="12" max="12" width="13" hidden="0" customWidth="1"/>
    <x:col min="13" max="13" width="29" hidden="0" customWidth="1"/>
    <x:col min="14" max="14" width="14" hidden="0" customWidth="1"/>
    <x:col min="15" max="15" width="14" hidden="0" customWidth="1"/>
    <x:col min="16" max="16" width="44" hidden="0" customWidth="1"/>
    <x:col min="17" max="17" width="9" hidden="0" customWidth="1"/>
  </x:cols>
  <x:sheetData>
    <x:row r="1" ht="26" customHeight="1">
      <x:c r="A1" s="145" t="str">
        <x:v>Verbraucher – technische Eingabe, Lastverhalten, Gleichzeitigkeit und Kosten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  <x:c r="P1" s="145"/>
      <x:c r="Q1" s="145"/>
    </x:row>
    <x:row r="2">
      <x:c r="A2" s="11" t="str">
        <x:v>Gruppenfaktor gilt als Standard. Ein Wert in gleichzeitigkeitsfaktor_override überschreibt ihn nur für diesen Verbraucher.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28" customHeight="1">
      <x:c r="A3" s="134" t="str">
        <x:v>verbraucher_id</x:v>
      </x:c>
      <x:c r="B3" s="134" t="str">
        <x:v>gruppen_id</x:v>
      </x:c>
      <x:c r="C3" s="134" t="str">
        <x:v>verbraucher</x:v>
      </x:c>
      <x:c r="D3" s="134" t="str">
        <x:v>kategorie</x:v>
      </x:c>
      <x:c r="E3" s="134" t="str">
        <x:v>status</x:v>
      </x:c>
      <x:c r="F3" s="134" t="str">
        <x:v>anzahl</x:v>
      </x:c>
      <x:c r="G3" s="134" t="str">
        <x:v>leistung_kw</x:v>
      </x:c>
      <x:c r="H3" s="134" t="str">
        <x:v>nutzungsfenster</x:v>
      </x:c>
      <x:c r="I3" s="134" t="str">
        <x:v>lastmodell</x:v>
      </x:c>
      <x:c r="J3" s="134" t="str">
        <x:v>treiber_1</x:v>
      </x:c>
      <x:c r="K3" s="134" t="str">
        <x:v>treiber_2</x:v>
      </x:c>
      <x:c r="L3" s="134" t="str">
        <x:v>lastfaktor</x:v>
      </x:c>
      <x:c r="M3" s="134" t="str">
        <x:v>gleichzeitigkeitsfaktor_override</x:v>
      </x:c>
      <x:c r="N3" s="134" t="str">
        <x:v>capex_eur</x:v>
      </x:c>
      <x:c r="O3" s="134" t="str">
        <x:v>opex_eur_a</x:v>
      </x:c>
      <x:c r="P3" s="134" t="str">
        <x:v>quelle_begruendung</x:v>
      </x:c>
      <x:c r="Q3" s="134" t="str">
        <x:v>aktiv</x:v>
      </x:c>
    </x:row>
    <x:row r="4">
      <x:c r="A4" s="165" t="str">
        <x:v>V_ZIM_001</x:v>
      </x:c>
      <x:c r="B4" s="165" t="str">
        <x:v>VG_ZIM</x:v>
      </x:c>
      <x:c r="C4" s="165" t="str">
        <x:v>Referenz-Hotelzimmer</x:v>
      </x:c>
      <x:c r="D4" s="165" t="str">
        <x:v>Beherbergung</x:v>
      </x:c>
      <x:c r="E4" s="165" t="str">
        <x:v>Bestand</x:v>
      </x:c>
      <x:c r="F4" s="165" t="n">
        <x:v>35</x:v>
      </x:c>
      <x:c r="G4" s="165"/>
      <x:c r="H4" s="165" t="str">
        <x:v>tageszeitabhängiges Referenzprofil</x:v>
      </x:c>
      <x:c r="I4" s="165" t="str">
        <x:v>LINEAR</x:v>
      </x:c>
      <x:c r="J4" s="166" t="str">
        <x:v>belegte_zimmer</x:v>
      </x:c>
      <x:c r="K4" s="167"/>
      <x:c r="L4" s="166"/>
      <x:c r="M4" s="166"/>
      <x:c r="N4" s="167" t="n">
        <x:v>0</x:v>
      </x:c>
      <x:c r="O4" s="168"/>
      <x:c r="P4" s="169" t="str">
        <x:v>Energieeffizientes 4S-Referenzzimmer; Gleichzeitigkeit separat kalibrieren</x:v>
      </x:c>
      <x:c r="Q4" s="170" t="b">
        <x:v>1</x:v>
      </x:c>
    </x:row>
    <x:row r="5">
      <x:c r="A5" s="165" t="str">
        <x:v>V_CHA_001</x:v>
      </x:c>
      <x:c r="B5" s="165" t="str">
        <x:v>VG_CHA</x:v>
      </x:c>
      <x:c r="C5" s="165" t="str">
        <x:v>Chalet Allgemein</x:v>
      </x:c>
      <x:c r="D5" s="165" t="str">
        <x:v>Beherbergung</x:v>
      </x:c>
      <x:c r="E5" s="165" t="str">
        <x:v>Bestand</x:v>
      </x:c>
      <x:c r="F5" s="165" t="n">
        <x:v>4</x:v>
      </x:c>
      <x:c r="G5" s="165"/>
      <x:c r="H5" s="165" t="str">
        <x:v>tageszeitabhängiges Referenzprofil</x:v>
      </x:c>
      <x:c r="I5" s="165" t="str">
        <x:v>LINEAR</x:v>
      </x:c>
      <x:c r="J5" s="166" t="str">
        <x:v>belegte_chalets</x:v>
      </x:c>
      <x:c r="K5" s="167"/>
      <x:c r="L5" s="166"/>
      <x:c r="M5" s="166"/>
      <x:c r="N5" s="167" t="n">
        <x:v>0</x:v>
      </x:c>
      <x:c r="O5" s="168"/>
      <x:c r="P5" s="169" t="str">
        <x:v>Beleuchtung, TV, Kühlschrank, Steckdosen und Kleingeräte zusammengefasst</x:v>
      </x:c>
      <x:c r="Q5" s="170" t="b">
        <x:v>1</x:v>
      </x:c>
    </x:row>
    <x:row r="6">
      <x:c r="A6" s="165" t="str">
        <x:v>V_CHA_002</x:v>
      </x:c>
      <x:c r="B6" s="165" t="str">
        <x:v>VG_CHA</x:v>
      </x:c>
      <x:c r="C6" s="165" t="str">
        <x:v>Elektrische Warmwasserbereitung (DLE)</x:v>
      </x:c>
      <x:c r="D6" s="165" t="str">
        <x:v>Warmwasser</x:v>
      </x:c>
      <x:c r="E6" s="165" t="str">
        <x:v>Bestand</x:v>
      </x:c>
      <x:c r="F6" s="165" t="n">
        <x:v>4</x:v>
      </x:c>
      <x:c r="G6" s="165" t="n">
        <x:v>22</x:v>
      </x:c>
      <x:c r="H6" s="165" t="str">
        <x:v>nutzungsabhängig</x:v>
      </x:c>
      <x:c r="I6" s="165" t="str">
        <x:v>STEP</x:v>
      </x:c>
      <x:c r="J6" s="166" t="str">
        <x:v>chaletgaeste</x:v>
      </x:c>
      <x:c r="K6" s="167"/>
      <x:c r="L6" s="166" t="n">
        <x:v>1</x:v>
      </x:c>
      <x:c r="M6" s="166"/>
      <x:c r="N6" s="167" t="n">
        <x:v>0</x:v>
      </x:c>
      <x:c r="O6" s="168"/>
      <x:c r="P6" s="169" t="str">
        <x:v>Je Chalet 22-kW-Durchlauferhitzer</x:v>
      </x:c>
      <x:c r="Q6" s="170" t="b">
        <x:v>1</x:v>
      </x:c>
    </x:row>
    <x:row r="7">
      <x:c r="A7" s="165" t="str">
        <x:v>V_CHA_003</x:v>
      </x:c>
      <x:c r="B7" s="165" t="str">
        <x:v>VG_CHA</x:v>
      </x:c>
      <x:c r="C7" s="165" t="str">
        <x:v>Splitgerät Heizen/Kühlen (Mitsubishi Heavy SCM60)</x:v>
      </x:c>
      <x:c r="D7" s="165" t="str">
        <x:v>Heizen/Kühlen</x:v>
      </x:c>
      <x:c r="E7" s="165" t="str">
        <x:v>Bestand</x:v>
      </x:c>
      <x:c r="F7" s="165" t="n">
        <x:v>4</x:v>
      </x:c>
      <x:c r="G7" s="165"/>
      <x:c r="H7" s="165" t="str">
        <x:v>24 h; dauerhaft temperiert</x:v>
      </x:c>
      <x:c r="I7" s="165" t="str">
        <x:v>LINEAR</x:v>
      </x:c>
      <x:c r="J7" s="166" t="str">
        <x:v>aussentemperatur</x:v>
      </x:c>
      <x:c r="K7" s="167" t="str">
        <x:v>fixed</x:v>
      </x:c>
      <x:c r="L7" s="166"/>
      <x:c r="M7" s="166"/>
      <x:c r="N7" s="167" t="n">
        <x:v>0</x:v>
      </x:c>
      <x:c r="O7" s="168"/>
      <x:c r="P7" s="169" t="str">
        <x:v>Solltemperatur wird auch bei unbelegtem Chalet gehalten; elektrische Aufnahme später aus Datenblatt ergänzen</x:v>
      </x:c>
      <x:c r="Q7" s="170" t="b">
        <x:v>1</x:v>
      </x:c>
    </x:row>
    <x:row r="8">
      <x:c r="A8" s="165" t="str">
        <x:v>V_WEL_001</x:v>
      </x:c>
      <x:c r="B8" s="165" t="str">
        <x:v>VG_WEL</x:v>
      </x:c>
      <x:c r="C8" s="165" t="str">
        <x:v>Saunen</x:v>
      </x:c>
      <x:c r="D8" s="165" t="str">
        <x:v>Sauna</x:v>
      </x:c>
      <x:c r="E8" s="165" t="str">
        <x:v>Bestand</x:v>
      </x:c>
      <x:c r="F8" s="165" t="n">
        <x:v>2</x:v>
      </x:c>
      <x:c r="G8" s="165" t="n">
        <x:v>9</x:v>
      </x:c>
      <x:c r="H8" s="165" t="str">
        <x:v>14:00–21:00</x:v>
      </x:c>
      <x:c r="I8" s="165" t="str">
        <x:v>STEP</x:v>
      </x:c>
      <x:c r="J8" s="166" t="str">
        <x:v>sauna_gaeste_gesamt</x:v>
      </x:c>
      <x:c r="K8" s="167"/>
      <x:c r="L8" s="166" t="n">
        <x:v>0.5</x:v>
      </x:c>
      <x:c r="M8" s="166"/>
      <x:c r="N8" s="167" t="n">
        <x:v>0</x:v>
      </x:c>
      <x:c r="O8" s="168"/>
      <x:c r="P8" s="169" t="str">
        <x:v>Bestandsangabe: 2 × 9 kW; Lastfaktor vorläufig</x:v>
      </x:c>
      <x:c r="Q8" s="170" t="b">
        <x:v>1</x:v>
      </x:c>
    </x:row>
    <x:row r="9">
      <x:c r="A9" s="165" t="str">
        <x:v>V_WEL_002</x:v>
      </x:c>
      <x:c r="B9" s="165" t="str">
        <x:v>VG_WEL</x:v>
      </x:c>
      <x:c r="C9" s="165" t="str">
        <x:v>Dampfbad</x:v>
      </x:c>
      <x:c r="D9" s="165" t="str">
        <x:v>Dampfbad</x:v>
      </x:c>
      <x:c r="E9" s="165" t="str">
        <x:v>Bestand</x:v>
      </x:c>
      <x:c r="F9" s="165" t="n">
        <x:v>1</x:v>
      </x:c>
      <x:c r="G9" s="165" t="n">
        <x:v>3</x:v>
      </x:c>
      <x:c r="H9" s="165" t="str">
        <x:v>14:00–21:00</x:v>
      </x:c>
      <x:c r="I9" s="165" t="str">
        <x:v>STEP</x:v>
      </x:c>
      <x:c r="J9" s="166" t="str">
        <x:v>sauna_gaeste_gesamt</x:v>
      </x:c>
      <x:c r="K9" s="167"/>
      <x:c r="L9" s="166" t="n">
        <x:v>0.45</x:v>
      </x:c>
      <x:c r="M9" s="166"/>
      <x:c r="N9" s="167" t="n">
        <x:v>0</x:v>
      </x:c>
      <x:c r="O9" s="168"/>
      <x:c r="P9" s="169" t="str">
        <x:v>Bestandsangabe: 3 kW; Lastfaktor vorläufig</x:v>
      </x:c>
      <x:c r="Q9" s="170" t="b">
        <x:v>1</x:v>
      </x:c>
    </x:row>
    <x:row r="10">
      <x:c r="A10" s="165" t="str">
        <x:v>V_WEL_003</x:v>
      </x:c>
      <x:c r="B10" s="165" t="str">
        <x:v>VG_WEL</x:v>
      </x:c>
      <x:c r="C10" s="165" t="str">
        <x:v>Infrarotkabinen</x:v>
      </x:c>
      <x:c r="D10" s="165" t="str">
        <x:v>Infrarot</x:v>
      </x:c>
      <x:c r="E10" s="165" t="str">
        <x:v>Bestand</x:v>
      </x:c>
      <x:c r="F10" s="165" t="n">
        <x:v>2</x:v>
      </x:c>
      <x:c r="G10" s="165" t="n">
        <x:v>2.5</x:v>
      </x:c>
      <x:c r="H10" s="165" t="str">
        <x:v>14:00–21:00</x:v>
      </x:c>
      <x:c r="I10" s="165" t="str">
        <x:v>STEP</x:v>
      </x:c>
      <x:c r="J10" s="166" t="str">
        <x:v>sauna_gaeste_gesamt</x:v>
      </x:c>
      <x:c r="K10" s="167"/>
      <x:c r="L10" s="166" t="n">
        <x:v>0.45</x:v>
      </x:c>
      <x:c r="M10" s="166"/>
      <x:c r="N10" s="167" t="n">
        <x:v>0</x:v>
      </x:c>
      <x:c r="O10" s="168"/>
      <x:c r="P10" s="169" t="str">
        <x:v>Bestandsangabe: 2 × 2,5 kW; Lastfaktor vorläufig</x:v>
      </x:c>
      <x:c r="Q10" s="170" t="b">
        <x:v>1</x:v>
      </x:c>
    </x:row>
    <x:row r="11">
      <x:c r="A11" s="165" t="str">
        <x:v>V_WEL_004</x:v>
      </x:c>
      <x:c r="B11" s="165" t="str">
        <x:v>VG_WEL</x:v>
      </x:c>
      <x:c r="C11" s="165" t="str">
        <x:v>Beleuchtung Wellness</x:v>
      </x:c>
      <x:c r="D11" s="165" t="str">
        <x:v>Beleuchtung</x:v>
      </x:c>
      <x:c r="E11" s="165" t="str">
        <x:v>Bestand</x:v>
      </x:c>
      <x:c r="F11" s="165" t="n">
        <x:v>1</x:v>
      </x:c>
      <x:c r="G11" s="165" t="n">
        <x:v>1</x:v>
      </x:c>
      <x:c r="H11" s="165" t="str">
        <x:v>10:00–21:00</x:v>
      </x:c>
      <x:c r="I11" s="165" t="str">
        <x:v>FIXED</x:v>
      </x:c>
      <x:c r="J11" s="166" t="str">
        <x:v>fixed</x:v>
      </x:c>
      <x:c r="K11" s="167"/>
      <x:c r="L11" s="166" t="n">
        <x:v>1</x:v>
      </x:c>
      <x:c r="M11" s="166" t="n">
        <x:v>1</x:v>
      </x:c>
      <x:c r="N11" s="167" t="n">
        <x:v>0</x:v>
      </x:c>
      <x:c r="O11" s="168"/>
      <x:c r="P11" s="169" t="str">
        <x:v>Modellannahme: 200 m² × 5 W/m² effiziente LED-Beleuchtung = 1,0 kW</x:v>
      </x:c>
      <x:c r="Q11" s="170" t="b">
        <x:v>1</x:v>
      </x:c>
    </x:row>
    <x:row r="12">
      <x:c r="A12" s="165" t="str">
        <x:v>V_WEL_005</x:v>
      </x:c>
      <x:c r="B12" s="165" t="str">
        <x:v>VG_WEL</x:v>
      </x:c>
      <x:c r="C12" s="165" t="str">
        <x:v>Fitnessgeräte gesamt</x:v>
      </x:c>
      <x:c r="D12" s="165" t="str">
        <x:v>Fitness</x:v>
      </x:c>
      <x:c r="E12" s="165" t="str">
        <x:v>Bestand</x:v>
      </x:c>
      <x:c r="F12" s="165" t="n">
        <x:v>1</x:v>
      </x:c>
      <x:c r="G12" s="165" t="n">
        <x:v>3</x:v>
      </x:c>
      <x:c r="H12" s="165" t="str">
        <x:v>10:00–21:00</x:v>
      </x:c>
      <x:c r="I12" s="165" t="str">
        <x:v>STEP</x:v>
      </x:c>
      <x:c r="J12" s="166" t="str">
        <x:v>hausgaeste_gesamt</x:v>
      </x:c>
      <x:c r="K12" s="167"/>
      <x:c r="L12" s="166" t="n">
        <x:v>0.2</x:v>
      </x:c>
      <x:c r="M12" s="166"/>
      <x:c r="N12" s="167" t="n">
        <x:v>0</x:v>
      </x:c>
      <x:c r="O12" s="168"/>
      <x:c r="P12" s="169" t="str">
        <x:v>Pauschalansatz für Laufband und weitere Fitnessgeräte; niedrige Gleichzeitigkeit</x:v>
      </x:c>
      <x:c r="Q12" s="170" t="b">
        <x:v>1</x:v>
      </x:c>
    </x:row>
    <x:row r="13">
      <x:c r="A13" s="169" t="str">
        <x:v>V_WEL_006</x:v>
      </x:c>
      <x:c r="B13" s="169" t="str">
        <x:v>VG_WEL</x:v>
      </x:c>
      <x:c r="C13" s="169" t="str">
        <x:v>Massageliege</x:v>
      </x:c>
      <x:c r="D13" s="169" t="str">
        <x:v>Massage</x:v>
      </x:c>
      <x:c r="E13" s="169" t="str">
        <x:v>Bestand</x:v>
      </x:c>
      <x:c r="F13" s="169" t="n">
        <x:v>1</x:v>
      </x:c>
      <x:c r="G13" s="169" t="n">
        <x:v>0.2</x:v>
      </x:c>
      <x:c r="H13" s="169" t="str">
        <x:v>10:00–21:00 / nach Nutzung</x:v>
      </x:c>
      <x:c r="I13" s="169" t="str">
        <x:v>STEP</x:v>
      </x:c>
      <x:c r="J13" s="171" t="str">
        <x:v>hausgaeste_gesamt</x:v>
      </x:c>
      <x:c r="K13" s="168"/>
      <x:c r="L13" s="171" t="n">
        <x:v>0.3</x:v>
      </x:c>
      <x:c r="M13" s="171"/>
      <x:c r="N13" s="168" t="n">
        <x:v>0</x:v>
      </x:c>
      <x:c r="O13" s="168"/>
      <x:c r="P13" s="169" t="str">
        <x:v>Pauschalansatz für elektrisch verstell-/beheizbare Massageliege</x:v>
      </x:c>
      <x:c r="Q13" s="170" t="b">
        <x:v>1</x:v>
      </x:c>
    </x:row>
    <x:row r="14">
      <x:c r="A14" s="169" t="str">
        <x:v>V_WEL_007</x:v>
      </x:c>
      <x:c r="B14" s="169" t="str">
        <x:v>VG_WEL</x:v>
      </x:c>
      <x:c r="C14" s="169" t="str">
        <x:v>Schwimmbad Grundtechnik</x:v>
      </x:c>
      <x:c r="D14" s="169" t="str">
        <x:v>Schwimmbadtechnik</x:v>
      </x:c>
      <x:c r="E14" s="169" t="str">
        <x:v>Bestand</x:v>
      </x:c>
      <x:c r="F14" s="169" t="n">
        <x:v>1</x:v>
      </x:c>
      <x:c r="G14" s="169" t="n">
        <x:v>3.5</x:v>
      </x:c>
      <x:c r="H14" s="169" t="str">
        <x:v>00:00–24:00</x:v>
      </x:c>
      <x:c r="I14" s="169" t="str">
        <x:v>FIXED</x:v>
      </x:c>
      <x:c r="J14" s="171" t="str">
        <x:v>fixed</x:v>
      </x:c>
      <x:c r="K14" s="168"/>
      <x:c r="L14" s="171" t="n">
        <x:v>0.65</x:v>
      </x:c>
      <x:c r="M14" s="171" t="n">
        <x:v>1</x:v>
      </x:c>
      <x:c r="N14" s="168" t="n">
        <x:v>0</x:v>
      </x:c>
      <x:c r="O14" s="168"/>
      <x:c r="P14" s="169" t="str">
        <x:v>Pauschalansatz für Umwälzung/Filterung/Steuerung eines modernen 12×5-m-Hotelbeckens; Herstellervergleich SPECK BADU Resort: https://cms.speck-pumps.com/product-file/BADU_privat_Katalog_EN_ab-01012025.pdf</x:v>
      </x:c>
      <x:c r="Q14" s="170" t="b">
        <x:v>1</x:v>
      </x:c>
    </x:row>
    <x:row r="15">
      <x:c r="A15" s="169" t="str">
        <x:v>V_WEL_008</x:v>
      </x:c>
      <x:c r="B15" s="169" t="str">
        <x:v>VG_WEL</x:v>
      </x:c>
      <x:c r="C15" s="169" t="str">
        <x:v>Schwimmbad Attraktionen</x:v>
      </x:c>
      <x:c r="D15" s="169" t="str">
        <x:v>Schwimmbadtechnik</x:v>
      </x:c>
      <x:c r="E15" s="169" t="str">
        <x:v>Bestand</x:v>
      </x:c>
      <x:c r="F15" s="169" t="n">
        <x:v>1</x:v>
      </x:c>
      <x:c r="G15" s="169" t="n">
        <x:v>5.5</x:v>
      </x:c>
      <x:c r="H15" s="169" t="str">
        <x:v>10:00–21:00</x:v>
      </x:c>
      <x:c r="I15" s="169" t="str">
        <x:v>STEP</x:v>
      </x:c>
      <x:c r="J15" s="171" t="str">
        <x:v>sauna_gaeste_gesamt</x:v>
      </x:c>
      <x:c r="K15" s="168"/>
      <x:c r="L15" s="171" t="n">
        <x:v>0.3</x:v>
      </x:c>
      <x:c r="M15" s="171"/>
      <x:c r="N15" s="168" t="n">
        <x:v>0</x:v>
      </x:c>
      <x:c r="O15" s="168"/>
      <x:c r="P15" s="169" t="str">
        <x:v>Pauschalansatz für Nackenschwall und Massagedüsen; Größenordnung anhand SPECK SwimJet-Technik, später Bestand prüfen</x:v>
      </x:c>
      <x:c r="Q15" s="170" t="b">
        <x:v>1</x:v>
      </x:c>
    </x:row>
    <x:row r="16">
      <x:c r="A16" s="169" t="str">
        <x:v>V_GAS_001</x:v>
      </x:c>
      <x:c r="B16" s="169" t="str">
        <x:v>VG_GAS</x:v>
      </x:c>
      <x:c r="C16" s="169" t="str">
        <x:v>Kombidämpfer groß</x:v>
      </x:c>
      <x:c r="D16" s="169" t="str">
        <x:v>Kochen</x:v>
      </x:c>
      <x:c r="E16" s="169" t="str">
        <x:v>Bestand</x:v>
      </x:c>
      <x:c r="F16" s="169" t="n">
        <x:v>2</x:v>
      </x:c>
      <x:c r="G16" s="169" t="n">
        <x:v>10</x:v>
      </x:c>
      <x:c r="H16" s="169" t="str">
        <x:v>06:00–10:00 / 12:00–21:00; Weihnachten bis 01:00</x:v>
      </x:c>
      <x:c r="I16" s="169" t="str">
        <x:v>STEP</x:v>
      </x:c>
      <x:c r="J16" s="171" t="str">
        <x:v>fruehstueck_gaeste_gesamt</x:v>
      </x:c>
      <x:c r="K16" s="168" t="str">
        <x:v>abendessen_gaeste_gesamt</x:v>
      </x:c>
      <x:c r="L16" s="171" t="n">
        <x:v>0.3</x:v>
      </x:c>
      <x:c r="M16" s="171"/>
      <x:c r="N16" s="168" t="n">
        <x:v>0</x:v>
      </x:c>
      <x:c r="O16" s="168"/>
      <x:c r="P16" s="169" t="str">
        <x:v>Bestandsangabe</x:v>
      </x:c>
      <x:c r="Q16" s="170" t="b">
        <x:v>1</x:v>
      </x:c>
    </x:row>
    <x:row r="17">
      <x:c r="A17" s="169" t="str">
        <x:v>V_GAS_002</x:v>
      </x:c>
      <x:c r="B17" s="169" t="str">
        <x:v>VG_GAS</x:v>
      </x:c>
      <x:c r="C17" s="169" t="str">
        <x:v>Kombidämpfer klein</x:v>
      </x:c>
      <x:c r="D17" s="169" t="str">
        <x:v>Kochen</x:v>
      </x:c>
      <x:c r="E17" s="169" t="str">
        <x:v>Bestand</x:v>
      </x:c>
      <x:c r="F17" s="169" t="n">
        <x:v>1</x:v>
      </x:c>
      <x:c r="G17" s="169" t="n">
        <x:v>5</x:v>
      </x:c>
      <x:c r="H17" s="169" t="str">
        <x:v>06:00–10:00 / 12:00–21:00; Weihnachten bis 01:00</x:v>
      </x:c>
      <x:c r="I17" s="169" t="str">
        <x:v>STEP</x:v>
      </x:c>
      <x:c r="J17" s="171" t="str">
        <x:v>fruehstueck_gaeste_gesamt</x:v>
      </x:c>
      <x:c r="K17" s="168" t="str">
        <x:v>abendessen_gaeste_gesamt</x:v>
      </x:c>
      <x:c r="L17" s="171" t="n">
        <x:v>0.3</x:v>
      </x:c>
      <x:c r="M17" s="171"/>
      <x:c r="N17" s="168" t="n">
        <x:v>0</x:v>
      </x:c>
      <x:c r="O17" s="168"/>
      <x:c r="P17" s="169" t="str">
        <x:v>Bestandsangabe</x:v>
      </x:c>
      <x:c r="Q17" s="170" t="b">
        <x:v>1</x:v>
      </x:c>
    </x:row>
    <x:row r="18">
      <x:c r="A18" s="169" t="str">
        <x:v>V_GAS_003</x:v>
      </x:c>
      <x:c r="B18" s="169" t="str">
        <x:v>VG_GAS</x:v>
      </x:c>
      <x:c r="C18" s="169" t="str">
        <x:v>Induktionsplatten</x:v>
      </x:c>
      <x:c r="D18" s="169" t="str">
        <x:v>Kochen</x:v>
      </x:c>
      <x:c r="E18" s="169" t="str">
        <x:v>Bestand</x:v>
      </x:c>
      <x:c r="F18" s="169" t="n">
        <x:v>2</x:v>
      </x:c>
      <x:c r="G18" s="169" t="n">
        <x:v>2</x:v>
      </x:c>
      <x:c r="H18" s="169" t="str">
        <x:v>12:00–21:00; Weihnachten bis 01:00</x:v>
      </x:c>
      <x:c r="I18" s="169" t="str">
        <x:v>STEP</x:v>
      </x:c>
      <x:c r="J18" s="171" t="str">
        <x:v>fruehstueck_gaeste_gesamt</x:v>
      </x:c>
      <x:c r="K18" s="168" t="str">
        <x:v>abendessen_gaeste_gesamt</x:v>
      </x:c>
      <x:c r="L18" s="171" t="n">
        <x:v>0.3</x:v>
      </x:c>
      <x:c r="M18" s="171"/>
      <x:c r="N18" s="168" t="n">
        <x:v>0</x:v>
      </x:c>
      <x:c r="O18" s="168"/>
      <x:c r="P18" s="169" t="str">
        <x:v>Bestandsangabe; Lastfaktor vorläufig</x:v>
      </x:c>
      <x:c r="Q18" s="170" t="b">
        <x:v>1</x:v>
      </x:c>
    </x:row>
    <x:row r="19">
      <x:c r="A19" s="169" t="str">
        <x:v>V_GAS_004</x:v>
      </x:c>
      <x:c r="B19" s="169" t="str">
        <x:v>VG_GAS</x:v>
      </x:c>
      <x:c r="C19" s="169" t="str">
        <x:v>Spülmaschine</x:v>
      </x:c>
      <x:c r="D19" s="169" t="str">
        <x:v>Spülen</x:v>
      </x:c>
      <x:c r="E19" s="169" t="str">
        <x:v>Bestand</x:v>
      </x:c>
      <x:c r="F19" s="169" t="n">
        <x:v>1</x:v>
      </x:c>
      <x:c r="G19" s="169" t="n">
        <x:v>5</x:v>
      </x:c>
      <x:c r="H19" s="169" t="str">
        <x:v>07:30–10:30 / 12:00–21:00; Weihnachten bis 01:00</x:v>
      </x:c>
      <x:c r="I19" s="169" t="str">
        <x:v>STEP</x:v>
      </x:c>
      <x:c r="J19" s="171" t="str">
        <x:v>fruehstueck_gaeste_gesamt</x:v>
      </x:c>
      <x:c r="K19" s="168" t="str">
        <x:v>abendessen_gaeste_gesamt</x:v>
      </x:c>
      <x:c r="L19" s="171" t="n">
        <x:v>0.35</x:v>
      </x:c>
      <x:c r="M19" s="171"/>
      <x:c r="N19" s="168" t="n">
        <x:v>0</x:v>
      </x:c>
      <x:c r="O19" s="168"/>
      <x:c r="P19" s="169" t="str">
        <x:v>Bestandsangabe; Lastfaktor vorläufig</x:v>
      </x:c>
      <x:c r="Q19" s="170" t="b">
        <x:v>1</x:v>
      </x:c>
    </x:row>
    <x:row r="20">
      <x:c r="A20" s="169" t="str">
        <x:v>V_GAS_005</x:v>
      </x:c>
      <x:c r="B20" s="169" t="str">
        <x:v>VG_GAS</x:v>
      </x:c>
      <x:c r="C20" s="169" t="str">
        <x:v>Rührtechnik gesamt</x:v>
      </x:c>
      <x:c r="D20" s="169" t="str">
        <x:v>Vorbereitung</x:v>
      </x:c>
      <x:c r="E20" s="169" t="str">
        <x:v>Bestand</x:v>
      </x:c>
      <x:c r="F20" s="169" t="n">
        <x:v>1</x:v>
      </x:c>
      <x:c r="G20" s="169" t="n">
        <x:v>4</x:v>
      </x:c>
      <x:c r="H20" s="169" t="str">
        <x:v>12:00–21:00; Weihnachten bis 01:00</x:v>
      </x:c>
      <x:c r="I20" s="169" t="str">
        <x:v>STEP</x:v>
      </x:c>
      <x:c r="J20" s="171" t="str">
        <x:v>fruehstueck_gaeste_gesamt</x:v>
      </x:c>
      <x:c r="K20" s="168" t="str">
        <x:v>abendessen_gaeste_gesamt</x:v>
      </x:c>
      <x:c r="L20" s="171" t="n">
        <x:v>0.2</x:v>
      </x:c>
      <x:c r="M20" s="171"/>
      <x:c r="N20" s="168" t="n">
        <x:v>0</x:v>
      </x:c>
      <x:c r="O20" s="168"/>
      <x:c r="P20" s="169" t="str">
        <x:v>Bestandsangabe als Gesamtleistung; Lastfaktor vorläufig</x:v>
      </x:c>
      <x:c r="Q20" s="170" t="b">
        <x:v>1</x:v>
      </x:c>
    </x:row>
    <x:row r="21">
      <x:c r="A21" s="169" t="str">
        <x:v>V_GAS_006</x:v>
      </x:c>
      <x:c r="B21" s="169" t="str">
        <x:v>VG_GAS</x:v>
      </x:c>
      <x:c r="C21" s="169" t="str">
        <x:v>Kühlung Lebensmittel</x:v>
      </x:c>
      <x:c r="D21" s="169" t="str">
        <x:v>Kälte</x:v>
      </x:c>
      <x:c r="E21" s="169" t="str">
        <x:v>Bestand</x:v>
      </x:c>
      <x:c r="F21" s="169" t="n">
        <x:v>4</x:v>
      </x:c>
      <x:c r="G21" s="169" t="n">
        <x:v>3.5</x:v>
      </x:c>
      <x:c r="H21" s="169" t="str">
        <x:v>00:00–24:00</x:v>
      </x:c>
      <x:c r="I21" s="169" t="str">
        <x:v>FIXED</x:v>
      </x:c>
      <x:c r="J21" s="171" t="str">
        <x:v>fixed</x:v>
      </x:c>
      <x:c r="K21" s="168"/>
      <x:c r="L21" s="171" t="n">
        <x:v>0.25</x:v>
      </x:c>
      <x:c r="M21" s="171" t="n">
        <x:v>1</x:v>
      </x:c>
      <x:c r="N21" s="168" t="n">
        <x:v>0</x:v>
      </x:c>
      <x:c r="O21" s="168"/>
      <x:c r="P21" s="169" t="str">
        <x:v>Wolfgang Kehl Anlagentechnik; 4 × 3,5 kW; Lastfaktor Annahme</x:v>
      </x:c>
      <x:c r="Q21" s="170" t="b">
        <x:v>1</x:v>
      </x:c>
    </x:row>
    <x:row r="22">
      <x:c r="A22" s="169" t="str">
        <x:v>V_GAS_007</x:v>
      </x:c>
      <x:c r="B22" s="169" t="str">
        <x:v>VG_GAS</x:v>
      </x:c>
      <x:c r="C22" s="169" t="str">
        <x:v>Tiefkühlung</x:v>
      </x:c>
      <x:c r="D22" s="169" t="str">
        <x:v>Kälte</x:v>
      </x:c>
      <x:c r="E22" s="169" t="str">
        <x:v>Bestand</x:v>
      </x:c>
      <x:c r="F22" s="169" t="n">
        <x:v>2</x:v>
      </x:c>
      <x:c r="G22" s="169" t="n">
        <x:v>3.5</x:v>
      </x:c>
      <x:c r="H22" s="169" t="str">
        <x:v>00:00–24:00</x:v>
      </x:c>
      <x:c r="I22" s="169" t="str">
        <x:v>FIXED</x:v>
      </x:c>
      <x:c r="J22" s="171" t="str">
        <x:v>fixed</x:v>
      </x:c>
      <x:c r="K22" s="168"/>
      <x:c r="L22" s="171" t="n">
        <x:v>0.32</x:v>
      </x:c>
      <x:c r="M22" s="171" t="n">
        <x:v>1</x:v>
      </x:c>
      <x:c r="N22" s="168" t="n">
        <x:v>0</x:v>
      </x:c>
      <x:c r="O22" s="168"/>
      <x:c r="P22" s="169" t="str">
        <x:v>Wolfgang Kehl Anlagentechnik; 2 × 3,5 kW; Lastfaktor Annahme</x:v>
      </x:c>
      <x:c r="Q22" s="170" t="b">
        <x:v>1</x:v>
      </x:c>
    </x:row>
    <x:row r="23">
      <x:c r="A23" s="169" t="str">
        <x:v>V_GAS_008</x:v>
      </x:c>
      <x:c r="B23" s="169" t="str">
        <x:v>VG_GAS</x:v>
      </x:c>
      <x:c r="C23" s="169" t="str">
        <x:v>Wärmetische</x:v>
      </x:c>
      <x:c r="D23" s="169" t="str">
        <x:v>Warmhalten</x:v>
      </x:c>
      <x:c r="E23" s="169" t="str">
        <x:v>Bestand</x:v>
      </x:c>
      <x:c r="F23" s="169" t="n">
        <x:v>3</x:v>
      </x:c>
      <x:c r="G23" s="169" t="n">
        <x:v>2</x:v>
      </x:c>
      <x:c r="H23" s="169" t="str">
        <x:v>12:00–21:00; Weihnachten bis 01:00</x:v>
      </x:c>
      <x:c r="I23" s="169" t="str">
        <x:v>STEP</x:v>
      </x:c>
      <x:c r="J23" s="171" t="str">
        <x:v>fruehstueck_gaeste_gesamt</x:v>
      </x:c>
      <x:c r="K23" s="168" t="str">
        <x:v>abendessen_gaeste_gesamt</x:v>
      </x:c>
      <x:c r="L23" s="171" t="n">
        <x:v>0.4</x:v>
      </x:c>
      <x:c r="M23" s="171"/>
      <x:c r="N23" s="168" t="n">
        <x:v>0</x:v>
      </x:c>
      <x:c r="O23" s="168"/>
      <x:c r="P23" s="169" t="str">
        <x:v>Annahme: 2,0 kW je Wärmetisch</x:v>
      </x:c>
      <x:c r="Q23" s="170" t="b">
        <x:v>1</x:v>
      </x:c>
    </x:row>
    <x:row r="24">
      <x:c r="A24" s="169" t="str">
        <x:v>V_GAS_009</x:v>
      </x:c>
      <x:c r="B24" s="169" t="str">
        <x:v>VG_GAS</x:v>
      </x:c>
      <x:c r="C24" s="169" t="str">
        <x:v>Warmhaltebecken</x:v>
      </x:c>
      <x:c r="D24" s="169" t="str">
        <x:v>Warmhalten</x:v>
      </x:c>
      <x:c r="E24" s="169" t="str">
        <x:v>Bestand</x:v>
      </x:c>
      <x:c r="F24" s="169" t="n">
        <x:v>3</x:v>
      </x:c>
      <x:c r="G24" s="169" t="n">
        <x:v>1.5</x:v>
      </x:c>
      <x:c r="H24" s="169" t="str">
        <x:v>12:00–21:00; Weihnachten bis 01:00</x:v>
      </x:c>
      <x:c r="I24" s="169" t="str">
        <x:v>STEP</x:v>
      </x:c>
      <x:c r="J24" s="171" t="str">
        <x:v>fruehstueck_gaeste_gesamt</x:v>
      </x:c>
      <x:c r="K24" s="168" t="str">
        <x:v>abendessen_gaeste_gesamt</x:v>
      </x:c>
      <x:c r="L24" s="171" t="n">
        <x:v>0.4</x:v>
      </x:c>
      <x:c r="M24" s="171"/>
      <x:c r="N24" s="168" t="n">
        <x:v>0</x:v>
      </x:c>
      <x:c r="O24" s="168"/>
      <x:c r="P24" s="169" t="str">
        <x:v>Annahme: 1,5 kW je Warmhaltebecken</x:v>
      </x:c>
      <x:c r="Q24" s="170" t="b">
        <x:v>1</x:v>
      </x:c>
    </x:row>
    <x:row r="25">
      <x:c r="A25" s="169" t="str">
        <x:v>V_GAS_010</x:v>
      </x:c>
      <x:c r="B25" s="169" t="str">
        <x:v>VG_GAS</x:v>
      </x:c>
      <x:c r="C25" s="169" t="str">
        <x:v>Tischwärmer</x:v>
      </x:c>
      <x:c r="D25" s="169" t="str">
        <x:v>Warmhalten</x:v>
      </x:c>
      <x:c r="E25" s="169" t="str">
        <x:v>Bestand</x:v>
      </x:c>
      <x:c r="F25" s="169" t="n">
        <x:v>1</x:v>
      </x:c>
      <x:c r="G25" s="169" t="n">
        <x:v>1</x:v>
      </x:c>
      <x:c r="H25" s="169" t="str">
        <x:v>12:00–21:00; Weihnachten bis 01:00</x:v>
      </x:c>
      <x:c r="I25" s="169" t="str">
        <x:v>STEP</x:v>
      </x:c>
      <x:c r="J25" s="171" t="str">
        <x:v>fruehstueck_gaeste_gesamt</x:v>
      </x:c>
      <x:c r="K25" s="168" t="str">
        <x:v>abendessen_gaeste_gesamt</x:v>
      </x:c>
      <x:c r="L25" s="171" t="n">
        <x:v>0.35</x:v>
      </x:c>
      <x:c r="M25" s="171"/>
      <x:c r="N25" s="168" t="n">
        <x:v>0</x:v>
      </x:c>
      <x:c r="O25" s="168"/>
      <x:c r="P25" s="169" t="str">
        <x:v>Annahme: 1,0 kW</x:v>
      </x:c>
      <x:c r="Q25" s="170" t="b">
        <x:v>1</x:v>
      </x:c>
    </x:row>
    <x:row r="26">
      <x:c r="A26" s="169" t="str">
        <x:v>V_GAS_011</x:v>
      </x:c>
      <x:c r="B26" s="169" t="str">
        <x:v>VG_GAS</x:v>
      </x:c>
      <x:c r="C26" s="169" t="str">
        <x:v>Küchen-Zubehörtechnik</x:v>
      </x:c>
      <x:c r="D26" s="169" t="str">
        <x:v>Kleingeräte</x:v>
      </x:c>
      <x:c r="E26" s="169" t="str">
        <x:v>Bestand</x:v>
      </x:c>
      <x:c r="F26" s="169" t="n">
        <x:v>1</x:v>
      </x:c>
      <x:c r="G26" s="169" t="n">
        <x:v>2</x:v>
      </x:c>
      <x:c r="H26" s="169" t="str">
        <x:v>12:00–21:00; Weihnachten bis 01:00</x:v>
      </x:c>
      <x:c r="I26" s="169" t="str">
        <x:v>STEP</x:v>
      </x:c>
      <x:c r="J26" s="171" t="str">
        <x:v>fruehstueck_gaeste_gesamt</x:v>
      </x:c>
      <x:c r="K26" s="168" t="str">
        <x:v>abendessen_gaeste_gesamt</x:v>
      </x:c>
      <x:c r="L26" s="171" t="n">
        <x:v>0.2</x:v>
      </x:c>
      <x:c r="M26" s="171"/>
      <x:c r="N26" s="168" t="n">
        <x:v>0</x:v>
      </x:c>
      <x:c r="O26" s="168"/>
      <x:c r="P26" s="169" t="str">
        <x:v>Pauschalansatz für sonstige kleine elektrische Küchengeräte</x:v>
      </x:c>
      <x:c r="Q26" s="170" t="b">
        <x:v>1</x:v>
      </x:c>
    </x:row>
    <x:row r="27">
      <x:c r="A27" s="184" t="str">
        <x:v>V_HAU_001</x:v>
      </x:c>
      <x:c r="B27" s="184" t="str">
        <x:v>VG_HAU</x:v>
      </x:c>
      <x:c r="C27" s="184" t="str">
        <x:v>Hackgutkessel KÖB/Viessmann Pyrot 220</x:v>
      </x:c>
      <x:c r="D27" s="184" t="str">
        <x:v>Wärmeerzeugung</x:v>
      </x:c>
      <x:c r="E27" s="184" t="str">
        <x:v>Bestand</x:v>
      </x:c>
      <x:c r="F27" s="184" t="n">
        <x:v>1</x:v>
      </x:c>
      <x:c r="G27" s="184" t="n">
        <x:v>2.85</x:v>
      </x:c>
      <x:c r="H27" s="184" t="str">
        <x:v>heizlastabhängig</x:v>
      </x:c>
      <x:c r="I27" s="184" t="str">
        <x:v>LINEAR</x:v>
      </x:c>
      <x:c r="J27" s="185" t="str">
        <x:v>waermebedarf_normiert</x:v>
      </x:c>
      <x:c r="K27" s="186"/>
      <x:c r="L27" s="185" t="n">
        <x:v>1</x:v>
      </x:c>
      <x:c r="M27" s="185" t="n">
        <x:v>1</x:v>
      </x:c>
      <x:c r="N27" s="186" t="n">
        <x:v>0</x:v>
      </x:c>
      <x:c r="O27" s="186"/>
      <x:c r="P27" s="184" t="str">
        <x:v>220 kW thermisch; techn. Daten Pyrot KRT-220: elektrischer Gesamtanschluss 2,85 kW. https://www.oakland.edu/Assets/upload/docs/Energy/KOB-Wood-Boiler/PYROT-Assembly-and-Installation-Instructions.pdf</x:v>
      </x:c>
      <x:c r="Q27" s="187" t="b">
        <x:v>1</x:v>
      </x:c>
    </x:row>
    <x:row r="28">
      <x:c r="A28" s="184" t="str">
        <x:v>V_HAU_002</x:v>
      </x:c>
      <x:c r="B28" s="184" t="str">
        <x:v>VG_HAU</x:v>
      </x:c>
      <x:c r="C28" s="184" t="str">
        <x:v>Buderus SB325-115 Prozesswärmeerzeuger Nr. 1</x:v>
      </x:c>
      <x:c r="D28" s="184" t="str">
        <x:v>Wärmeerzeugung</x:v>
      </x:c>
      <x:c r="E28" s="184" t="str">
        <x:v>Bestand</x:v>
      </x:c>
      <x:c r="F28" s="184" t="n">
        <x:v>1</x:v>
      </x:c>
      <x:c r="G28" s="184" t="n">
        <x:v>0.439</x:v>
      </x:c>
      <x:c r="H28" s="184" t="str">
        <x:v>prozesslastabhängig</x:v>
      </x:c>
      <x:c r="I28" s="184" t="str">
        <x:v>LINEAR</x:v>
      </x:c>
      <x:c r="J28" s="185" t="str">
        <x:v>prozesswaermebedarf_normiert</x:v>
      </x:c>
      <x:c r="K28" s="186"/>
      <x:c r="L28" s="185" t="n">
        <x:v>1</x:v>
      </x:c>
      <x:c r="M28" s="185" t="n">
        <x:v>1</x:v>
      </x:c>
      <x:c r="N28" s="186" t="n">
        <x:v>0</x:v>
      </x:c>
      <x:c r="O28" s="186"/>
      <x:c r="P28" s="184" t="str">
        <x:v>115 kW thermisch; Buderus P_HE bei 100 % Last: 439 W, bei 30 %: 146 W, Standby: 15 W. https://www.buderus.de/resource/blob/45224/9cfb5a19a1578d1c02f3a8515412120e/Produkt-Kennwerte%20zur%20Berechnung%20des%20Jahresprim%C3%A4renergiebedarfs.pdf</x:v>
      </x:c>
      <x:c r="Q28" s="187" t="b">
        <x:v>1</x:v>
      </x:c>
    </x:row>
    <x:row r="29">
      <x:c r="A29" s="184" t="str">
        <x:v>V_HAU_003</x:v>
      </x:c>
      <x:c r="B29" s="184" t="str">
        <x:v>VG_HAU</x:v>
      </x:c>
      <x:c r="C29" s="184" t="str">
        <x:v>Buderus SB325-115 Prozesswärmeerzeuger Nr. 2</x:v>
      </x:c>
      <x:c r="D29" s="184" t="str">
        <x:v>Wärmeerzeugung</x:v>
      </x:c>
      <x:c r="E29" s="184" t="str">
        <x:v>Bestand</x:v>
      </x:c>
      <x:c r="F29" s="184" t="n">
        <x:v>1</x:v>
      </x:c>
      <x:c r="G29" s="184" t="n">
        <x:v>0.439</x:v>
      </x:c>
      <x:c r="H29" s="184" t="str">
        <x:v>prozesslastabhängig</x:v>
      </x:c>
      <x:c r="I29" s="184" t="str">
        <x:v>LINEAR</x:v>
      </x:c>
      <x:c r="J29" s="185" t="str">
        <x:v>prozesswaermebedarf_normiert</x:v>
      </x:c>
      <x:c r="K29" s="186"/>
      <x:c r="L29" s="185" t="n">
        <x:v>1</x:v>
      </x:c>
      <x:c r="M29" s="185" t="n">
        <x:v>1</x:v>
      </x:c>
      <x:c r="N29" s="186" t="n">
        <x:v>0</x:v>
      </x:c>
      <x:c r="O29" s="186"/>
      <x:c r="P29" s="184" t="str">
        <x:v>115 kW thermisch; Buderus P_HE bei 100 % Last: 439 W, bei 30 %: 146 W, Standby: 15 W. https://www.buderus.de/resource/blob/45224/9cfb5a19a1578d1c02f3a8515412120e/Produkt-Kennwerte%20zur%20Berechnung%20des%20Jahresprim%C3%A4renergiebedarfs.pdf</x:v>
      </x:c>
      <x:c r="Q29" s="187" t="b">
        <x:v>1</x:v>
      </x:c>
    </x:row>
    <x:row r="30">
      <x:c r="A30" s="184" t="str">
        <x:v>V_HAU_004</x:v>
      </x:c>
      <x:c r="B30" s="184" t="str">
        <x:v>VG_HAU</x:v>
      </x:c>
      <x:c r="C30" s="184" t="str">
        <x:v>Pumpentechnik Wärmeerzeugung</x:v>
      </x:c>
      <x:c r="D30" s="184" t="str">
        <x:v>Pumpen</x:v>
      </x:c>
      <x:c r="E30" s="184" t="str">
        <x:v>Bestand</x:v>
      </x:c>
      <x:c r="F30" s="184" t="n">
        <x:v>1</x:v>
      </x:c>
      <x:c r="G30" s="184" t="n">
        <x:v>8</x:v>
      </x:c>
      <x:c r="H30" s="184" t="str">
        <x:v>heiz-/prozesslastabhängig</x:v>
      </x:c>
      <x:c r="I30" s="184" t="str">
        <x:v>LINEAR</x:v>
      </x:c>
      <x:c r="J30" s="185" t="str">
        <x:v>waermebedarf_normiert</x:v>
      </x:c>
      <x:c r="K30" s="186" t="str">
        <x:v>prozesswaermebedarf_normiert</x:v>
      </x:c>
      <x:c r="L30" s="185" t="n">
        <x:v>0.65</x:v>
      </x:c>
      <x:c r="M30" s="185" t="n">
        <x:v>1</x:v>
      </x:c>
      <x:c r="N30" s="186" t="n">
        <x:v>0</x:v>
      </x:c>
      <x:c r="O30" s="186"/>
      <x:c r="P30" s="184" t="str">
        <x:v>Bestandsangabe: 8 kW installierte Pumpentechnik; Lastfaktor 0,65 vorläufig</x:v>
      </x:c>
      <x:c r="Q30" s="187" t="b">
        <x:v>1</x:v>
      </x:c>
    </x:row>
    <x:row r="31">
      <x:c r="A31" s="169" t="str">
        <x:v>V_KIR_001</x:v>
      </x:c>
      <x:c r="B31" s="169" t="str">
        <x:v>VG_KIR</x:v>
      </x:c>
      <x:c r="C31" s="169" t="str">
        <x:v>Kirchberghütte Allgemein</x:v>
      </x:c>
      <x:c r="D31" s="169" t="str">
        <x:v>Beherbergung</x:v>
      </x:c>
      <x:c r="E31" s="169" t="str">
        <x:v>Bestand</x:v>
      </x:c>
      <x:c r="F31" s="169" t="n">
        <x:v>1</x:v>
      </x:c>
      <x:c r="G31" s="169"/>
      <x:c r="H31" s="169" t="str">
        <x:v>00:00–24:00</x:v>
      </x:c>
      <x:c r="I31" s="169" t="str">
        <x:v>FIXED</x:v>
      </x:c>
      <x:c r="J31" s="171" t="str">
        <x:v>fixed</x:v>
      </x:c>
      <x:c r="K31" s="168"/>
      <x:c r="L31" s="171"/>
      <x:c r="M31" s="171"/>
      <x:c r="N31" s="168" t="n">
        <x:v>0</x:v>
      </x:c>
      <x:c r="O31" s="168"/>
      <x:c r="P31" s="169" t="str">
        <x:v>Grund-/Kleingeräteverbrauch; später kalibrieren</x:v>
      </x:c>
      <x:c r="Q31" s="170" t="b">
        <x:v>1</x:v>
      </x:c>
    </x:row>
    <x:row r="32">
      <x:c r="A32" s="169" t="str">
        <x:v>V_KIR_002</x:v>
      </x:c>
      <x:c r="B32" s="169" t="str">
        <x:v>VG_KIR</x:v>
      </x:c>
      <x:c r="C32" s="169" t="str">
        <x:v>Beleuchtung</x:v>
      </x:c>
      <x:c r="D32" s="169" t="str">
        <x:v>Beleuchtung</x:v>
      </x:c>
      <x:c r="E32" s="169" t="str">
        <x:v>Bestand</x:v>
      </x:c>
      <x:c r="F32" s="169" t="n">
        <x:v>1</x:v>
      </x:c>
      <x:c r="G32" s="169" t="n">
        <x:v>3</x:v>
      </x:c>
      <x:c r="H32" s="169" t="str">
        <x:v>bei Belegung / tageszeitabhängig</x:v>
      </x:c>
      <x:c r="I32" s="169" t="str">
        <x:v>STEP</x:v>
      </x:c>
      <x:c r="J32" s="171" t="str">
        <x:v>kirchberghuette_belegt</x:v>
      </x:c>
      <x:c r="K32" s="168"/>
      <x:c r="L32" s="171"/>
      <x:c r="M32" s="171"/>
      <x:c r="N32" s="168" t="n">
        <x:v>0</x:v>
      </x:c>
      <x:c r="O32" s="168"/>
      <x:c r="P32" s="169" t="str">
        <x:v>600 m² × 5 W/m² = 3,0 kW</x:v>
      </x:c>
      <x:c r="Q32" s="170" t="b">
        <x:v>1</x:v>
      </x:c>
    </x:row>
    <x:row r="33">
      <x:c r="A33" s="169" t="str">
        <x:v>V_KIR_003</x:v>
      </x:c>
      <x:c r="B33" s="169" t="str">
        <x:v>VG_KIR</x:v>
      </x:c>
      <x:c r="C33" s="169" t="str">
        <x:v>Einbauküchen gesamt</x:v>
      </x:c>
      <x:c r="D33" s="169" t="str">
        <x:v>Kochen</x:v>
      </x:c>
      <x:c r="E33" s="169" t="str">
        <x:v>Bestand</x:v>
      </x:c>
      <x:c r="F33" s="169" t="n">
        <x:v>2</x:v>
      </x:c>
      <x:c r="G33" s="169" t="n">
        <x:v>11</x:v>
      </x:c>
      <x:c r="H33" s="169" t="str">
        <x:v>bei Belegung / nutzungsabhängig</x:v>
      </x:c>
      <x:c r="I33" s="169" t="str">
        <x:v>STEP</x:v>
      </x:c>
      <x:c r="J33" s="171" t="str">
        <x:v>kirchberghuette_belegt</x:v>
      </x:c>
      <x:c r="K33" s="168"/>
      <x:c r="L33" s="171"/>
      <x:c r="M33" s="171"/>
      <x:c r="N33" s="168" t="n">
        <x:v>0</x:v>
      </x:c>
      <x:c r="O33" s="168"/>
      <x:c r="P33" s="169" t="str">
        <x:v>KISS-Pauschale je Einbauküche</x:v>
      </x:c>
      <x:c r="Q33" s="170" t="b">
        <x:v>1</x:v>
      </x:c>
    </x:row>
    <x:row r="34">
      <x:c r="A34" s="169" t="str">
        <x:v>V_KIR_004</x:v>
      </x:c>
      <x:c r="B34" s="169" t="str">
        <x:v>VG_KIR</x:v>
      </x:c>
      <x:c r="C34" s="169" t="str">
        <x:v>Geschirrspüler</x:v>
      </x:c>
      <x:c r="D34" s="169" t="str">
        <x:v>Spülen</x:v>
      </x:c>
      <x:c r="E34" s="169" t="str">
        <x:v>Bestand</x:v>
      </x:c>
      <x:c r="F34" s="169" t="n">
        <x:v>2</x:v>
      </x:c>
      <x:c r="G34" s="169" t="n">
        <x:v>2</x:v>
      </x:c>
      <x:c r="H34" s="169" t="str">
        <x:v>bei Belegung / nutzungsabhängig</x:v>
      </x:c>
      <x:c r="I34" s="169" t="str">
        <x:v>STEP</x:v>
      </x:c>
      <x:c r="J34" s="171" t="str">
        <x:v>kirchberghuette_belegt</x:v>
      </x:c>
      <x:c r="K34" s="168"/>
      <x:c r="L34" s="171"/>
      <x:c r="M34" s="171"/>
      <x:c r="N34" s="168" t="n">
        <x:v>0</x:v>
      </x:c>
      <x:c r="O34" s="168"/>
      <x:c r="P34" s="169" t="str">
        <x:v>Pauschale je Haushaltsgeschirrspüler</x:v>
      </x:c>
      <x:c r="Q34" s="170" t="b">
        <x:v>1</x:v>
      </x:c>
    </x:row>
    <x:row r="35">
      <x:c r="A35" s="172" t="str">
        <x:v>V_TAG_001</x:v>
      </x:c>
      <x:c r="B35" s="172" t="str">
        <x:v>VG_TAG</x:v>
      </x:c>
      <x:c r="C35" s="172" t="str">
        <x:v>Beleuchtung Tagungsräume</x:v>
      </x:c>
      <x:c r="D35" s="172" t="str">
        <x:v>Beleuchtung</x:v>
      </x:c>
      <x:c r="E35" s="172" t="str">
        <x:v>Bestand</x:v>
      </x:c>
      <x:c r="F35" s="172" t="n">
        <x:v>4</x:v>
      </x:c>
      <x:c r="G35" s="172" t="n">
        <x:v>0.5</x:v>
      </x:c>
      <x:c r="H35" s="172" t="str">
        <x:v>09:00–17:00</x:v>
      </x:c>
      <x:c r="I35" s="172" t="str">
        <x:v>LINEAR</x:v>
      </x:c>
      <x:c r="J35" s="173" t="str">
        <x:v>tagungsraum_auslastung</x:v>
      </x:c>
      <x:c r="K35" s="174"/>
      <x:c r="L35" s="173" t="n">
        <x:v>1</x:v>
      </x:c>
      <x:c r="M35" s="173"/>
      <x:c r="N35" s="174" t="n">
        <x:v>0</x:v>
      </x:c>
      <x:c r="O35" s="174"/>
      <x:c r="P35" s="172" t="str">
        <x:v>4 × 100 m²; Annahme 5 W/m² effiziente LED-Beleuchtung = 0,5 kW je Raum</x:v>
      </x:c>
      <x:c r="Q35" s="175" t="b">
        <x:v>1</x:v>
      </x:c>
    </x:row>
    <x:row r="36">
      <x:c r="A36" s="172" t="str">
        <x:v>V_TAG_002</x:v>
      </x:c>
      <x:c r="B36" s="172" t="str">
        <x:v>VG_TAG</x:v>
      </x:c>
      <x:c r="C36" s="172" t="str">
        <x:v>Laptop-Arbeitsplätze</x:v>
      </x:c>
      <x:c r="D36" s="172" t="str">
        <x:v>IT/Steckdosen</x:v>
      </x:c>
      <x:c r="E36" s="172" t="str">
        <x:v>Bestand</x:v>
      </x:c>
      <x:c r="F36" s="172" t="n">
        <x:v>120</x:v>
      </x:c>
      <x:c r="G36" s="172" t="n">
        <x:v>0.065</x:v>
      </x:c>
      <x:c r="H36" s="172" t="str">
        <x:v>09:00–17:00</x:v>
      </x:c>
      <x:c r="I36" s="172" t="str">
        <x:v>LINEAR</x:v>
      </x:c>
      <x:c r="J36" s="173" t="str">
        <x:v>tagungsraum_auslastung</x:v>
      </x:c>
      <x:c r="K36" s="174"/>
      <x:c r="L36" s="173" t="n">
        <x:v>0.6</x:v>
      </x:c>
      <x:c r="M36" s="173"/>
      <x:c r="N36" s="174" t="n">
        <x:v>0</x:v>
      </x:c>
      <x:c r="O36" s="174"/>
      <x:c r="P36" s="172" t="str">
        <x:v>30 Arbeitsplätze je Raum; Annahme 65 W je Laptop-Netzteil, mittlere Nutzung über Lastfaktor</x:v>
      </x:c>
      <x:c r="Q36" s="175" t="b">
        <x:v>1</x:v>
      </x:c>
    </x:row>
    <x:row r="37">
      <x:c r="A37" s="172" t="str">
        <x:v>V_TAG_003</x:v>
      </x:c>
      <x:c r="B37" s="172" t="str">
        <x:v>VG_TAG</x:v>
      </x:c>
      <x:c r="C37" s="172" t="str">
        <x:v>Konferenz-/Medientechnik</x:v>
      </x:c>
      <x:c r="D37" s="172" t="str">
        <x:v>Medientechnik</x:v>
      </x:c>
      <x:c r="E37" s="172" t="str">
        <x:v>Bestand</x:v>
      </x:c>
      <x:c r="F37" s="172" t="n">
        <x:v>4</x:v>
      </x:c>
      <x:c r="G37" s="172" t="n">
        <x:v>0.5</x:v>
      </x:c>
      <x:c r="H37" s="172" t="str">
        <x:v>09:00–17:00</x:v>
      </x:c>
      <x:c r="I37" s="172" t="str">
        <x:v>LINEAR</x:v>
      </x:c>
      <x:c r="J37" s="173" t="str">
        <x:v>tagungsraum_auslastung</x:v>
      </x:c>
      <x:c r="K37" s="174"/>
      <x:c r="L37" s="173" t="n">
        <x:v>0.8</x:v>
      </x:c>
      <x:c r="M37" s="173"/>
      <x:c r="N37" s="174" t="n">
        <x:v>0</x:v>
      </x:c>
      <x:c r="O37" s="174"/>
      <x:c r="P37" s="172" t="str">
        <x:v>Pauschale je Raum für Display/Beamer, Präsentationstechnik, Audio und Steuerung</x:v>
      </x:c>
      <x:c r="Q37" s="175" t="b">
        <x:v>1</x:v>
      </x:c>
    </x:row>
    <x:row r="38">
      <x:c r="A38" s="172" t="str">
        <x:v>V_TAG_004</x:v>
      </x:c>
      <x:c r="B38" s="172" t="str">
        <x:v>VG_TAG</x:v>
      </x:c>
      <x:c r="C38" s="172" t="str">
        <x:v>Split-Kühlung Mitsubishi Heavy SCM66</x:v>
      </x:c>
      <x:c r="D38" s="172" t="str">
        <x:v>Kühlung</x:v>
      </x:c>
      <x:c r="E38" s="172" t="str">
        <x:v>Bestand</x:v>
      </x:c>
      <x:c r="F38" s="172" t="n">
        <x:v>2</x:v>
      </x:c>
      <x:c r="G38" s="172" t="n">
        <x:v>1.5</x:v>
      </x:c>
      <x:c r="H38" s="172" t="str">
        <x:v>09:00–17:00</x:v>
      </x:c>
      <x:c r="I38" s="172" t="str">
        <x:v>LINEAR</x:v>
      </x:c>
      <x:c r="J38" s="173" t="str">
        <x:v>aussentemperatur</x:v>
      </x:c>
      <x:c r="K38" s="174" t="str">
        <x:v>tagungsraum_auslastung</x:v>
      </x:c>
      <x:c r="L38" s="173" t="n">
        <x:v>0.7</x:v>
      </x:c>
      <x:c r="M38" s="173"/>
      <x:c r="N38" s="174" t="n">
        <x:v>0</x:v>
      </x:c>
      <x:c r="O38" s="174"/>
      <x:c r="P38" s="172" t="str">
        <x:v>Modellbezeichnung SCM66 noch zu verifizieren; 1,5 kW elektrische Aufnahme je Gerät als vorläufige Annahme. Vergleichbare MHI SCM60/71 liegen nominal ca. 1,4–1,6 kW Kühlaufnahme. https://www.mhi.com/group/maco/products/downloads/pdf/sr_series_2022.pdf</x:v>
      </x:c>
      <x:c r="Q38" s="175" t="b">
        <x:v>1</x:v>
      </x:c>
    </x:row>
    <x:row r="39">
      <x:c r="A39" s="176" t="str">
        <x:v>V_HAW_001</x:v>
      </x:c>
      <x:c r="B39" s="176" t="str">
        <x:v>VG_HAW</x:v>
      </x:c>
      <x:c r="C39" s="176" t="str">
        <x:v>Miele PWM 912-E Nr. 1</x:v>
      </x:c>
      <x:c r="D39" s="176" t="str">
        <x:v>Waschen</x:v>
      </x:c>
      <x:c r="E39" s="176" t="str">
        <x:v>Bestand</x:v>
      </x:c>
      <x:c r="F39" s="176" t="n">
        <x:v>1</x:v>
      </x:c>
      <x:c r="G39" s="176" t="n">
        <x:v>9.6</x:v>
      </x:c>
      <x:c r="H39" s="176" t="str">
        <x:v>Unterwoche 10:00–17:00</x:v>
      </x:c>
      <x:c r="I39" s="176" t="str">
        <x:v>STEP</x:v>
      </x:c>
      <x:c r="J39" s="177" t="str">
        <x:v>waescherei_betrieb</x:v>
      </x:c>
      <x:c r="K39" s="178" t="str">
        <x:v>saison</x:v>
      </x:c>
      <x:c r="L39" s="177" t="n">
        <x:v>0.22</x:v>
      </x:c>
      <x:c r="M39" s="177" t="n">
        <x:v>1</x:v>
      </x:c>
      <x:c r="N39" s="178" t="n">
        <x:v>0</x:v>
      </x:c>
      <x:c r="O39" s="178"/>
      <x:c r="P39" s="176" t="str">
        <x:v>Miele PWM 912: 9,6 kW Gesamtanschluss; Herstellerdaten. https://media.miele.com/downloads/e-/de/FS_11778000_DED_DE-de-DE.pdf</x:v>
      </x:c>
      <x:c r="Q39" s="179" t="b">
        <x:v>1</x:v>
      </x:c>
    </x:row>
    <x:row r="40">
      <x:c r="A40" s="176" t="str">
        <x:v>V_HAW_002</x:v>
      </x:c>
      <x:c r="B40" s="176" t="str">
        <x:v>VG_HAW</x:v>
      </x:c>
      <x:c r="C40" s="176" t="str">
        <x:v>Miele PWM 912-E Nr. 2</x:v>
      </x:c>
      <x:c r="D40" s="176" t="str">
        <x:v>Waschen</x:v>
      </x:c>
      <x:c r="E40" s="176" t="str">
        <x:v>Bestand</x:v>
      </x:c>
      <x:c r="F40" s="176" t="n">
        <x:v>1</x:v>
      </x:c>
      <x:c r="G40" s="176" t="n">
        <x:v>9.6</x:v>
      </x:c>
      <x:c r="H40" s="176" t="str">
        <x:v>Unterwoche 10:00–17:00</x:v>
      </x:c>
      <x:c r="I40" s="176" t="str">
        <x:v>STEP</x:v>
      </x:c>
      <x:c r="J40" s="177" t="str">
        <x:v>waescherei_betrieb</x:v>
      </x:c>
      <x:c r="K40" s="178" t="str">
        <x:v>saison</x:v>
      </x:c>
      <x:c r="L40" s="177" t="n">
        <x:v>0.22</x:v>
      </x:c>
      <x:c r="M40" s="177" t="n">
        <x:v>0.9</x:v>
      </x:c>
      <x:c r="N40" s="178" t="n">
        <x:v>0</x:v>
      </x:c>
      <x:c r="O40" s="178"/>
      <x:c r="P40" s="176" t="str">
        <x:v>Miele PWM 912: 9,6 kW Gesamtanschluss; Herstellerdaten. https://media.miele.com/downloads/e-/de/FS_11778000_DED_DE-de-DE.pdf</x:v>
      </x:c>
      <x:c r="Q40" s="179" t="b">
        <x:v>1</x:v>
      </x:c>
    </x:row>
    <x:row r="41">
      <x:c r="A41" s="176" t="str">
        <x:v>V_HAW_003</x:v>
      </x:c>
      <x:c r="B41" s="176" t="str">
        <x:v>VG_HAW</x:v>
      </x:c>
      <x:c r="C41" s="176" t="str">
        <x:v>Miele PWM 508</x:v>
      </x:c>
      <x:c r="D41" s="176" t="str">
        <x:v>Waschen</x:v>
      </x:c>
      <x:c r="E41" s="176" t="str">
        <x:v>Bestand</x:v>
      </x:c>
      <x:c r="F41" s="176" t="n">
        <x:v>1</x:v>
      </x:c>
      <x:c r="G41" s="176" t="n">
        <x:v>5.5</x:v>
      </x:c>
      <x:c r="H41" s="176" t="str">
        <x:v>Unterwoche 10:00–17:00</x:v>
      </x:c>
      <x:c r="I41" s="176" t="str">
        <x:v>STEP</x:v>
      </x:c>
      <x:c r="J41" s="177" t="str">
        <x:v>waescherei_betrieb</x:v>
      </x:c>
      <x:c r="K41" s="178" t="str">
        <x:v>saison</x:v>
      </x:c>
      <x:c r="L41" s="177" t="n">
        <x:v>0.19</x:v>
      </x:c>
      <x:c r="M41" s="177" t="n">
        <x:v>0.8</x:v>
      </x:c>
      <x:c r="N41" s="178" t="n">
        <x:v>0</x:v>
      </x:c>
      <x:c r="O41" s="178"/>
      <x:c r="P41" s="176" t="str">
        <x:v>Miele PWM 508, 400-V-Ausführung: 5,5 kW Gesamtanschluss. https://www.miele.de/product/11898770/professional-waschmaschine-kleiner-riese-elektrobeheizt-mit-ablaufpumpe-pwm-508-el-dp-1</x:v>
      </x:c>
      <x:c r="Q41" s="179" t="b">
        <x:v>1</x:v>
      </x:c>
    </x:row>
    <x:row r="42">
      <x:c r="A42" s="176" t="str">
        <x:v>V_HAW_004</x:v>
      </x:c>
      <x:c r="B42" s="176" t="str">
        <x:v>VG_HAW</x:v>
      </x:c>
      <x:c r="C42" s="176" t="str">
        <x:v>Haushaltswaschmaschine</x:v>
      </x:c>
      <x:c r="D42" s="176" t="str">
        <x:v>Waschen</x:v>
      </x:c>
      <x:c r="E42" s="176" t="str">
        <x:v>Bestand</x:v>
      </x:c>
      <x:c r="F42" s="176" t="n">
        <x:v>1</x:v>
      </x:c>
      <x:c r="G42" s="176" t="n">
        <x:v>2.1</x:v>
      </x:c>
      <x:c r="H42" s="176" t="str">
        <x:v>Unterwoche 10:00–17:00</x:v>
      </x:c>
      <x:c r="I42" s="176" t="str">
        <x:v>STEP</x:v>
      </x:c>
      <x:c r="J42" s="177" t="str">
        <x:v>waescherei_betrieb</x:v>
      </x:c>
      <x:c r="K42" s="178" t="str">
        <x:v>saison</x:v>
      </x:c>
      <x:c r="L42" s="177" t="n">
        <x:v>0.2</x:v>
      </x:c>
      <x:c r="M42" s="177" t="n">
        <x:v>0.5</x:v>
      </x:c>
      <x:c r="N42" s="178" t="n">
        <x:v>0</x:v>
      </x:c>
      <x:c r="O42" s="178"/>
      <x:c r="P42" s="176" t="str">
        <x:v>Pauschalannahme für neue Haushaltswaschmaschine; Typenschild später ergänzen</x:v>
      </x:c>
      <x:c r="Q42" s="179" t="b">
        <x:v>1</x:v>
      </x:c>
    </x:row>
    <x:row r="43">
      <x:c r="A43" s="176" t="str">
        <x:v>V_HAW_005</x:v>
      </x:c>
      <x:c r="B43" s="176" t="str">
        <x:v>VG_HAW</x:v>
      </x:c>
      <x:c r="C43" s="176" t="str">
        <x:v>Wärmepumpentrockner ca. 3 kg</x:v>
      </x:c>
      <x:c r="D43" s="176" t="str">
        <x:v>Trocknen</x:v>
      </x:c>
      <x:c r="E43" s="176" t="str">
        <x:v>Bestand</x:v>
      </x:c>
      <x:c r="F43" s="176" t="n">
        <x:v>1</x:v>
      </x:c>
      <x:c r="G43" s="176" t="n">
        <x:v>0.8</x:v>
      </x:c>
      <x:c r="H43" s="176" t="str">
        <x:v>Unterwoche 10:00–17:00</x:v>
      </x:c>
      <x:c r="I43" s="176" t="str">
        <x:v>STEP</x:v>
      </x:c>
      <x:c r="J43" s="177" t="str">
        <x:v>waescherei_betrieb</x:v>
      </x:c>
      <x:c r="K43" s="178" t="str">
        <x:v>saison</x:v>
      </x:c>
      <x:c r="L43" s="177" t="n">
        <x:v>0.75</x:v>
      </x:c>
      <x:c r="M43" s="177" t="n">
        <x:v>0.6</x:v>
      </x:c>
      <x:c r="N43" s="178" t="n">
        <x:v>0</x:v>
      </x:c>
      <x:c r="O43" s="178"/>
      <x:c r="P43" s="176" t="str">
        <x:v>Pauschalannahme; kleine Wärmepumpentrockner-Leistung, Typenschild später ergänzen</x:v>
      </x:c>
      <x:c r="Q43" s="179" t="b">
        <x:v>1</x:v>
      </x:c>
    </x:row>
    <x:row r="44">
      <x:c r="A44" s="176" t="str">
        <x:v>V_HAW_006</x:v>
      </x:c>
      <x:c r="B44" s="176" t="str">
        <x:v>VG_HAW</x:v>
      </x:c>
      <x:c r="C44" s="176" t="str">
        <x:v>Heißwasser-Trockner Nr. 1</x:v>
      </x:c>
      <x:c r="D44" s="176" t="str">
        <x:v>Trocknen</x:v>
      </x:c>
      <x:c r="E44" s="176" t="str">
        <x:v>Bestand</x:v>
      </x:c>
      <x:c r="F44" s="176" t="n">
        <x:v>1</x:v>
      </x:c>
      <x:c r="G44" s="176" t="n">
        <x:v>1.5</x:v>
      </x:c>
      <x:c r="H44" s="176" t="str">
        <x:v>Unterwoche 10:00–17:00</x:v>
      </x:c>
      <x:c r="I44" s="176" t="str">
        <x:v>STEP</x:v>
      </x:c>
      <x:c r="J44" s="177" t="str">
        <x:v>waescherei_betrieb</x:v>
      </x:c>
      <x:c r="K44" s="178" t="str">
        <x:v>saison</x:v>
      </x:c>
      <x:c r="L44" s="177" t="n">
        <x:v>0.85</x:v>
      </x:c>
      <x:c r="M44" s="177" t="n">
        <x:v>0.85</x:v>
      </x:c>
      <x:c r="N44" s="178" t="n">
        <x:v>0</x:v>
      </x:c>
      <x:c r="O44" s="178"/>
      <x:c r="P44" s="176" t="str">
        <x:v>Nur elektrische Antriebs-/Lüfterleistung modelliert; Trocknungswärme aus Heizsystem und später im thermischen Modell</x:v>
      </x:c>
      <x:c r="Q44" s="179" t="b">
        <x:v>1</x:v>
      </x:c>
    </x:row>
    <x:row r="45">
      <x:c r="A45" s="176" t="str">
        <x:v>V_HAW_007</x:v>
      </x:c>
      <x:c r="B45" s="176" t="str">
        <x:v>VG_HAW</x:v>
      </x:c>
      <x:c r="C45" s="176" t="str">
        <x:v>Heißwasser-Trockner Nr. 2</x:v>
      </x:c>
      <x:c r="D45" s="176" t="str">
        <x:v>Trocknen</x:v>
      </x:c>
      <x:c r="E45" s="176" t="str">
        <x:v>Bestand</x:v>
      </x:c>
      <x:c r="F45" s="176" t="n">
        <x:v>1</x:v>
      </x:c>
      <x:c r="G45" s="176" t="n">
        <x:v>1.5</x:v>
      </x:c>
      <x:c r="H45" s="176" t="str">
        <x:v>Unterwoche 10:00–17:00</x:v>
      </x:c>
      <x:c r="I45" s="176" t="str">
        <x:v>STEP</x:v>
      </x:c>
      <x:c r="J45" s="177" t="str">
        <x:v>waescherei_betrieb</x:v>
      </x:c>
      <x:c r="K45" s="178" t="str">
        <x:v>saison</x:v>
      </x:c>
      <x:c r="L45" s="177" t="n">
        <x:v>0.85</x:v>
      </x:c>
      <x:c r="M45" s="177" t="n">
        <x:v>0.8</x:v>
      </x:c>
      <x:c r="N45" s="178" t="n">
        <x:v>0</x:v>
      </x:c>
      <x:c r="O45" s="178"/>
      <x:c r="P45" s="176" t="str">
        <x:v>Nur elektrische Antriebs-/Lüfterleistung modelliert; Trocknungswärme aus Heizsystem und später im thermischen Modell</x:v>
      </x:c>
      <x:c r="Q45" s="179" t="b">
        <x:v>1</x:v>
      </x:c>
    </x:row>
    <x:row r="46">
      <x:c r="A46" s="176" t="str">
        <x:v>V_HAW_008</x:v>
      </x:c>
      <x:c r="B46" s="176" t="str">
        <x:v>VG_HAW</x:v>
      </x:c>
      <x:c r="C46" s="176" t="str">
        <x:v>Heißwasser-Trockner Nr. 3</x:v>
      </x:c>
      <x:c r="D46" s="176" t="str">
        <x:v>Trocknen</x:v>
      </x:c>
      <x:c r="E46" s="176" t="str">
        <x:v>Bestand</x:v>
      </x:c>
      <x:c r="F46" s="176" t="n">
        <x:v>1</x:v>
      </x:c>
      <x:c r="G46" s="176" t="n">
        <x:v>1.5</x:v>
      </x:c>
      <x:c r="H46" s="176" t="str">
        <x:v>Unterwoche 10:00–17:00</x:v>
      </x:c>
      <x:c r="I46" s="176" t="str">
        <x:v>STEP</x:v>
      </x:c>
      <x:c r="J46" s="177" t="str">
        <x:v>waescherei_betrieb</x:v>
      </x:c>
      <x:c r="K46" s="178" t="str">
        <x:v>saison</x:v>
      </x:c>
      <x:c r="L46" s="177" t="n">
        <x:v>0.85</x:v>
      </x:c>
      <x:c r="M46" s="177" t="n">
        <x:v>0.75</x:v>
      </x:c>
      <x:c r="N46" s="178" t="n">
        <x:v>0</x:v>
      </x:c>
      <x:c r="O46" s="178"/>
      <x:c r="P46" s="176" t="str">
        <x:v>Nur elektrische Antriebs-/Lüfterleistung modelliert; Trocknungswärme aus Heizsystem und später im thermischen Modell</x:v>
      </x:c>
      <x:c r="Q46" s="179" t="b">
        <x:v>1</x:v>
      </x:c>
    </x:row>
    <x:row r="47">
      <x:c r="A47" s="180" t="str">
        <x:v>V_HAW_009</x:v>
      </x:c>
      <x:c r="B47" s="180" t="str">
        <x:v>VG_HAW</x:v>
      </x:c>
      <x:c r="C47" s="180" t="str">
        <x:v>STAHL Muldenmangel / Einroller</x:v>
      </x:c>
      <x:c r="D47" s="180" t="str">
        <x:v>Finish</x:v>
      </x:c>
      <x:c r="E47" s="180" t="str">
        <x:v>Bestand</x:v>
      </x:c>
      <x:c r="F47" s="180" t="n">
        <x:v>1</x:v>
      </x:c>
      <x:c r="G47" s="180" t="n">
        <x:v>21</x:v>
      </x:c>
      <x:c r="H47" s="180" t="str">
        <x:v>Unterwoche 10:00–17:00</x:v>
      </x:c>
      <x:c r="I47" s="180" t="str">
        <x:v>STEP</x:v>
      </x:c>
      <x:c r="J47" s="181" t="str">
        <x:v>waescherei_betrieb</x:v>
      </x:c>
      <x:c r="K47" s="182" t="str">
        <x:v>saison</x:v>
      </x:c>
      <x:c r="L47" s="181" t="n">
        <x:v>0.55</x:v>
      </x:c>
      <x:c r="M47" s="181" t="n">
        <x:v>1</x:v>
      </x:c>
      <x:c r="N47" s="182" t="n">
        <x:v>0</x:v>
      </x:c>
      <x:c r="O47" s="182"/>
      <x:c r="P47" s="180" t="str">
        <x:v>Elektrisch beheizt. Vorläufig 21 kW Anschlussleistung als KISS-Annahme; STAHL M400/M500 werden u. a. mit 21/33 kW Elektroheizung angeboten. Gestufte Vorheizung reduziert den gleichzeitigen Leistungsabruf; exakten Typ später prüfen. https://stahl-waeschereimaschinen.de/produkte/muldenmangeln/einroller/</x:v>
      </x:c>
      <x:c r="Q47" s="183" t="b">
        <x:v>1</x:v>
      </x:c>
    </x:row>
    <x:row r="48">
      <x:c r="A48" s="192" t="str">
        <x:v>V_LAD_001</x:v>
      </x:c>
      <x:c r="B48" s="192" t="str">
        <x:v>VG_LAD</x:v>
      </x:c>
      <x:c r="C48" s="192" t="str">
        <x:v>Ladestation 22 kW</x:v>
      </x:c>
      <x:c r="D48" s="192" t="str">
        <x:v>Mobilität</x:v>
      </x:c>
      <x:c r="E48" s="192" t="str">
        <x:v>Bestand</x:v>
      </x:c>
      <x:c r="F48" s="192" t="n">
        <x:v>1</x:v>
      </x:c>
      <x:c r="G48" s="192" t="n">
        <x:v>22</x:v>
      </x:c>
      <x:c r="H48" s="192" t="str">
        <x:v>ereignisbasiert</x:v>
      </x:c>
      <x:c r="I48" s="192" t="str">
        <x:v>EVENT</x:v>
      </x:c>
      <x:c r="J48" s="193" t="str">
        <x:v>ladevorgaenge</x:v>
      </x:c>
      <x:c r="K48" s="194"/>
      <x:c r="L48" s="193" t="n">
        <x:v>1</x:v>
      </x:c>
      <x:c r="M48" s="193" t="n">
        <x:v>1</x:v>
      </x:c>
      <x:c r="N48" s="194" t="n">
        <x:v>0</x:v>
      </x:c>
      <x:c r="O48" s="194"/>
      <x:c r="P48" s="192" t="str">
        <x:v>Eine 22-kW-Ladestation; 8 Vorgänge je Betriebstag, Ø 20 kWh/Vorgang als KISS-Annahme; Lastabwurf bei Überlast vorgesehen</x:v>
      </x:c>
      <x:c r="Q48" s="195" t="b">
        <x:v>1</x:v>
      </x:c>
    </x:row>
    <x:row r="49">
      <x:c r="A49" s="196" t="str">
        <x:v>V_ALL_001</x:v>
      </x:c>
      <x:c r="B49" s="196" t="str">
        <x:v>VG_ALL</x:v>
      </x:c>
      <x:c r="C49" s="196" t="str">
        <x:v>Flur-/Allgemeinbeleuchtung Bewegungsmelder</x:v>
      </x:c>
      <x:c r="D49" s="196" t="str">
        <x:v>Beleuchtung</x:v>
      </x:c>
      <x:c r="E49" s="196" t="str">
        <x:v>Bestand</x:v>
      </x:c>
      <x:c r="F49" s="196" t="n">
        <x:v>1</x:v>
      </x:c>
      <x:c r="G49" s="196" t="n">
        <x:v>1.6</x:v>
      </x:c>
      <x:c r="H49" s="196" t="str">
        <x:v>24 h freigegeben; bewegungsabhängig</x:v>
      </x:c>
      <x:c r="I49" s="196" t="str">
        <x:v>LINEAR</x:v>
      </x:c>
      <x:c r="J49" s="207" t="str">
        <x:v>hotel_auslastung</x:v>
      </x:c>
      <x:c r="K49" s="208" t="str">
        <x:v>tageszeit</x:v>
      </x:c>
      <x:c r="L49" s="207" t="n">
        <x:v>0.35</x:v>
      </x:c>
      <x:c r="M49" s="207" t="n">
        <x:v>1</x:v>
      </x:c>
      <x:c r="N49" s="208" t="n">
        <x:v>0</x:v>
      </x:c>
      <x:c r="O49" s="208"/>
      <x:c r="P49" s="196" t="str">
        <x:v>400 m² × 80 % × 5 W/m² = 1,6 kW; Lastfaktor bildet Bewegungsmelderbetrieb ab</x:v>
      </x:c>
      <x:c r="Q49" s="202" t="b">
        <x:v>1</x:v>
      </x:c>
    </x:row>
    <x:row r="50">
      <x:c r="A50" s="196" t="str">
        <x:v>V_AUS_001</x:v>
      </x:c>
      <x:c r="B50" s="196" t="str">
        <x:v>VG_AUS</x:v>
      </x:c>
      <x:c r="C50" s="196" t="str">
        <x:v>Außenbeleuchtung / Moonlights</x:v>
      </x:c>
      <x:c r="D50" s="196" t="str">
        <x:v>Beleuchtung</x:v>
      </x:c>
      <x:c r="E50" s="196" t="str">
        <x:v>Bestand</x:v>
      </x:c>
      <x:c r="F50" s="196" t="n">
        <x:v>40</x:v>
      </x:c>
      <x:c r="G50" s="196" t="n">
        <x:v>0.015</x:v>
      </x:c>
      <x:c r="H50" s="196" t="str">
        <x:v>Dämmerung–23:00</x:v>
      </x:c>
      <x:c r="I50" s="196" t="str">
        <x:v>STEP</x:v>
      </x:c>
      <x:c r="J50" s="207" t="str">
        <x:v>dunkelheit</x:v>
      </x:c>
      <x:c r="K50" s="208" t="str">
        <x:v>saison</x:v>
      </x:c>
      <x:c r="L50" s="207" t="n">
        <x:v>1</x:v>
      </x:c>
      <x:c r="M50" s="207" t="n">
        <x:v>1</x:v>
      </x:c>
      <x:c r="N50" s="208" t="n">
        <x:v>0</x:v>
      </x:c>
      <x:c r="O50" s="208"/>
      <x:c r="P50" s="196" t="str">
        <x:v>40 LED-Außenleuchten/Moonlights × durchschnittlich 15 W = 0,60 kW; Start über Dunkelheit, Abschaltung 23:00</x:v>
      </x:c>
      <x:c r="Q50" s="202" t="b">
        <x:v>1</x:v>
      </x:c>
    </x:row>
    <x:row r="51">
      <x:c r="A51" s="196" t="str">
        <x:v>V_ALL_002</x:v>
      </x:c>
      <x:c r="B51" s="196" t="str">
        <x:v>VG_ALL</x:v>
      </x:c>
      <x:c r="C51" s="196" t="str">
        <x:v>Allgemeinbeleuchtung ohne Bewegungsmelder</x:v>
      </x:c>
      <x:c r="D51" s="196" t="str">
        <x:v>Beleuchtung</x:v>
      </x:c>
      <x:c r="E51" s="196" t="str">
        <x:v>Bestand</x:v>
      </x:c>
      <x:c r="F51" s="196" t="n">
        <x:v>1</x:v>
      </x:c>
      <x:c r="G51" s="196" t="n">
        <x:v>0.4</x:v>
      </x:c>
      <x:c r="H51" s="196" t="str">
        <x:v>06:00–23:00</x:v>
      </x:c>
      <x:c r="I51" s="196" t="str">
        <x:v>FIXED</x:v>
      </x:c>
      <x:c r="J51" s="207" t="str">
        <x:v>fixed</x:v>
      </x:c>
      <x:c r="K51" s="208"/>
      <x:c r="L51" s="207" t="n">
        <x:v>1</x:v>
      </x:c>
      <x:c r="M51" s="207" t="n">
        <x:v>1</x:v>
      </x:c>
      <x:c r="N51" s="208" t="n">
        <x:v>0</x:v>
      </x:c>
      <x:c r="O51" s="208"/>
      <x:c r="P51" s="196" t="str">
        <x:v>400 m² × 20 % × 5 W/m² = 0,4 kW; KISS-Annahme für übrige Allgemeinflächen</x:v>
      </x:c>
      <x:c r="Q51" s="202" t="b">
        <x:v>1</x:v>
      </x:c>
    </x:row>
    <x:row r="52">
      <x:c r="A52" s="98"/>
      <x:c r="B52" s="98"/>
      <x:c r="C52" s="98"/>
      <x:c r="D52" s="98"/>
      <x:c r="E52" s="98"/>
      <x:c r="F52" s="98"/>
      <x:c r="G52" s="98"/>
      <x:c r="H52" s="98"/>
      <x:c r="I52" s="98"/>
      <x:c r="J52" s="100"/>
      <x:c r="K52" s="101"/>
      <x:c r="L52" s="100"/>
      <x:c r="M52" s="100"/>
      <x:c r="N52" s="101"/>
      <x:c r="O52" s="78"/>
    </x:row>
    <x:row r="53">
      <x:c r="A53" s="98"/>
      <x:c r="B53" s="98"/>
      <x:c r="C53" s="98"/>
      <x:c r="D53" s="98"/>
      <x:c r="E53" s="98"/>
      <x:c r="F53" s="98"/>
      <x:c r="G53" s="98"/>
      <x:c r="H53" s="98"/>
      <x:c r="I53" s="98"/>
      <x:c r="J53" s="100"/>
      <x:c r="K53" s="101"/>
      <x:c r="L53" s="100"/>
      <x:c r="M53" s="100"/>
      <x:c r="N53" s="101"/>
      <x:c r="O53" s="78"/>
    </x:row>
    <x:row r="54">
      <x:c r="A54" s="98"/>
      <x:c r="B54" s="98"/>
      <x:c r="C54" s="98"/>
      <x:c r="D54" s="98"/>
      <x:c r="E54" s="98"/>
      <x:c r="F54" s="98"/>
      <x:c r="G54" s="98"/>
      <x:c r="H54" s="98"/>
      <x:c r="I54" s="98"/>
      <x:c r="J54" s="100"/>
      <x:c r="K54" s="101"/>
      <x:c r="L54" s="100"/>
      <x:c r="M54" s="100"/>
      <x:c r="N54" s="101"/>
      <x:c r="O54" s="78"/>
    </x:row>
    <x:row r="55">
      <x:c r="A55" s="98"/>
      <x:c r="B55" s="98"/>
      <x:c r="C55" s="98"/>
      <x:c r="D55" s="98"/>
      <x:c r="E55" s="98"/>
      <x:c r="F55" s="98"/>
      <x:c r="G55" s="98"/>
      <x:c r="H55" s="98"/>
      <x:c r="I55" s="98"/>
      <x:c r="J55" s="100"/>
      <x:c r="K55" s="101"/>
      <x:c r="L55" s="100"/>
      <x:c r="M55" s="100"/>
      <x:c r="N55" s="101"/>
      <x:c r="O55" s="78"/>
    </x:row>
    <x:row r="56">
      <x:c r="A56" s="98"/>
      <x:c r="B56" s="98"/>
      <x:c r="C56" s="98"/>
      <x:c r="D56" s="98"/>
      <x:c r="E56" s="98"/>
      <x:c r="F56" s="98"/>
      <x:c r="G56" s="98"/>
      <x:c r="H56" s="98"/>
      <x:c r="I56" s="98"/>
      <x:c r="J56" s="100"/>
      <x:c r="K56" s="101"/>
      <x:c r="L56" s="100"/>
      <x:c r="M56" s="100"/>
      <x:c r="N56" s="101"/>
      <x:c r="O56" s="78"/>
    </x:row>
    <x:row r="57">
      <x:c r="A57" s="98"/>
      <x:c r="B57" s="98"/>
      <x:c r="C57" s="98"/>
      <x:c r="D57" s="98"/>
      <x:c r="E57" s="98"/>
      <x:c r="F57" s="98"/>
      <x:c r="G57" s="98"/>
      <x:c r="H57" s="98"/>
      <x:c r="I57" s="98"/>
      <x:c r="J57" s="100"/>
      <x:c r="K57" s="101"/>
      <x:c r="L57" s="100"/>
      <x:c r="M57" s="100"/>
      <x:c r="N57" s="101"/>
      <x:c r="O57" s="78"/>
    </x:row>
    <x:row r="58">
      <x:c r="A58" s="98"/>
      <x:c r="B58" s="98"/>
      <x:c r="C58" s="98"/>
      <x:c r="D58" s="98"/>
      <x:c r="E58" s="98"/>
      <x:c r="F58" s="98"/>
      <x:c r="G58" s="98"/>
      <x:c r="H58" s="98"/>
      <x:c r="I58" s="98"/>
      <x:c r="J58" s="100"/>
      <x:c r="K58" s="101"/>
      <x:c r="L58" s="100"/>
      <x:c r="M58" s="100"/>
      <x:c r="N58" s="101"/>
      <x:c r="O58" s="78"/>
    </x:row>
    <x:row r="59">
      <x:c r="A59" s="98"/>
      <x:c r="B59" s="98"/>
      <x:c r="C59" s="98"/>
      <x:c r="D59" s="98"/>
      <x:c r="E59" s="98"/>
      <x:c r="F59" s="98"/>
      <x:c r="G59" s="98"/>
      <x:c r="H59" s="98"/>
      <x:c r="I59" s="98"/>
      <x:c r="J59" s="100"/>
      <x:c r="K59" s="101"/>
      <x:c r="L59" s="100"/>
      <x:c r="M59" s="100"/>
      <x:c r="N59" s="101"/>
      <x:c r="O59" s="78"/>
    </x:row>
    <x:row r="60">
      <x:c r="A60" s="98"/>
      <x:c r="B60" s="98"/>
      <x:c r="C60" s="98"/>
      <x:c r="D60" s="98"/>
      <x:c r="E60" s="98"/>
      <x:c r="F60" s="98"/>
      <x:c r="G60" s="98"/>
      <x:c r="H60" s="98"/>
      <x:c r="I60" s="98"/>
      <x:c r="J60" s="100"/>
      <x:c r="K60" s="101"/>
      <x:c r="L60" s="100"/>
      <x:c r="M60" s="100"/>
      <x:c r="N60" s="101"/>
      <x:c r="O60" s="78"/>
    </x:row>
    <x:row r="61">
      <x:c r="A61" s="98"/>
      <x:c r="B61" s="98"/>
      <x:c r="C61" s="98"/>
      <x:c r="D61" s="98"/>
      <x:c r="E61" s="98"/>
      <x:c r="F61" s="98"/>
      <x:c r="G61" s="98"/>
      <x:c r="H61" s="98"/>
      <x:c r="I61" s="98"/>
      <x:c r="J61" s="100"/>
      <x:c r="K61" s="101"/>
      <x:c r="L61" s="100"/>
      <x:c r="M61" s="100"/>
      <x:c r="N61" s="101"/>
      <x:c r="O61" s="78"/>
    </x:row>
    <x:row r="62">
      <x:c r="A62" s="98"/>
      <x:c r="B62" s="98"/>
      <x:c r="C62" s="98"/>
      <x:c r="D62" s="98"/>
      <x:c r="E62" s="98"/>
      <x:c r="F62" s="98"/>
      <x:c r="G62" s="98"/>
      <x:c r="H62" s="98"/>
      <x:c r="I62" s="98"/>
      <x:c r="J62" s="100"/>
      <x:c r="K62" s="101"/>
      <x:c r="L62" s="100"/>
      <x:c r="M62" s="100"/>
      <x:c r="N62" s="101"/>
      <x:c r="O62" s="78"/>
    </x:row>
    <x:row r="63">
      <x:c r="A63" s="98"/>
      <x:c r="B63" s="98"/>
      <x:c r="C63" s="98"/>
      <x:c r="D63" s="98"/>
      <x:c r="E63" s="98"/>
      <x:c r="F63" s="98"/>
      <x:c r="G63" s="98"/>
      <x:c r="H63" s="98"/>
      <x:c r="I63" s="98"/>
      <x:c r="J63" s="100"/>
      <x:c r="K63" s="101"/>
      <x:c r="L63" s="100"/>
      <x:c r="M63" s="100"/>
      <x:c r="N63" s="101"/>
      <x:c r="O63" s="78"/>
    </x:row>
    <x:row r="64">
      <x:c r="A64" s="98"/>
      <x:c r="B64" s="98"/>
      <x:c r="C64" s="98"/>
      <x:c r="D64" s="98"/>
      <x:c r="E64" s="98"/>
      <x:c r="F64" s="98"/>
      <x:c r="G64" s="98"/>
      <x:c r="H64" s="98"/>
      <x:c r="I64" s="98"/>
      <x:c r="J64" s="100"/>
      <x:c r="K64" s="101"/>
      <x:c r="L64" s="100"/>
      <x:c r="M64" s="100"/>
      <x:c r="N64" s="101"/>
      <x:c r="O64" s="78"/>
    </x:row>
    <x:row r="65">
      <x:c r="A65" s="98"/>
      <x:c r="B65" s="98"/>
      <x:c r="C65" s="98"/>
      <x:c r="D65" s="98"/>
      <x:c r="E65" s="98"/>
      <x:c r="F65" s="98"/>
      <x:c r="G65" s="98"/>
      <x:c r="H65" s="98"/>
      <x:c r="I65" s="98"/>
      <x:c r="J65" s="100"/>
      <x:c r="K65" s="101"/>
      <x:c r="L65" s="100"/>
      <x:c r="M65" s="100"/>
      <x:c r="N65" s="101"/>
      <x:c r="O65" s="78"/>
    </x:row>
    <x:row r="66">
      <x:c r="A66" s="98"/>
      <x:c r="B66" s="98"/>
      <x:c r="C66" s="98"/>
      <x:c r="D66" s="98"/>
      <x:c r="E66" s="98"/>
      <x:c r="F66" s="98"/>
      <x:c r="G66" s="98"/>
      <x:c r="H66" s="98"/>
      <x:c r="I66" s="98"/>
      <x:c r="J66" s="100"/>
      <x:c r="K66" s="101"/>
      <x:c r="L66" s="100"/>
      <x:c r="M66" s="100"/>
      <x:c r="N66" s="101"/>
      <x:c r="O66" s="78"/>
    </x:row>
    <x:row r="67">
      <x:c r="A67" s="98"/>
      <x:c r="B67" s="98"/>
      <x:c r="C67" s="98"/>
      <x:c r="D67" s="98"/>
      <x:c r="E67" s="98"/>
      <x:c r="F67" s="98"/>
      <x:c r="G67" s="98"/>
      <x:c r="H67" s="98"/>
      <x:c r="I67" s="98"/>
      <x:c r="J67" s="100"/>
      <x:c r="K67" s="101"/>
      <x:c r="L67" s="100"/>
      <x:c r="M67" s="100"/>
      <x:c r="N67" s="101"/>
      <x:c r="O67" s="78"/>
    </x:row>
    <x:row r="68">
      <x:c r="A68" s="98"/>
      <x:c r="B68" s="98"/>
      <x:c r="C68" s="98"/>
      <x:c r="D68" s="98"/>
      <x:c r="E68" s="98"/>
      <x:c r="F68" s="98"/>
      <x:c r="G68" s="98"/>
      <x:c r="H68" s="98"/>
      <x:c r="I68" s="98"/>
      <x:c r="J68" s="100"/>
      <x:c r="K68" s="101"/>
      <x:c r="L68" s="100"/>
      <x:c r="M68" s="100"/>
      <x:c r="N68" s="101"/>
      <x:c r="O68" s="78"/>
    </x:row>
    <x:row r="69">
      <x:c r="A69" s="98"/>
      <x:c r="B69" s="98"/>
      <x:c r="C69" s="98"/>
      <x:c r="D69" s="98"/>
      <x:c r="E69" s="98"/>
      <x:c r="F69" s="98"/>
      <x:c r="G69" s="98"/>
      <x:c r="H69" s="98"/>
      <x:c r="I69" s="98"/>
      <x:c r="J69" s="100"/>
      <x:c r="K69" s="101"/>
      <x:c r="L69" s="100"/>
      <x:c r="M69" s="100"/>
      <x:c r="N69" s="101"/>
      <x:c r="O69" s="78"/>
    </x:row>
    <x:row r="70">
      <x:c r="A70" s="98"/>
      <x:c r="B70" s="98"/>
      <x:c r="C70" s="98"/>
      <x:c r="D70" s="98"/>
      <x:c r="E70" s="98"/>
      <x:c r="F70" s="98"/>
      <x:c r="G70" s="98"/>
      <x:c r="H70" s="98"/>
      <x:c r="I70" s="98"/>
      <x:c r="J70" s="100"/>
      <x:c r="K70" s="101"/>
      <x:c r="L70" s="100"/>
      <x:c r="M70" s="100"/>
      <x:c r="N70" s="101"/>
      <x:c r="O70" s="78"/>
    </x:row>
    <x:row r="71">
      <x:c r="A71" s="98"/>
      <x:c r="B71" s="98"/>
      <x:c r="C71" s="98"/>
      <x:c r="D71" s="98"/>
      <x:c r="E71" s="98"/>
      <x:c r="F71" s="98"/>
      <x:c r="G71" s="98"/>
      <x:c r="H71" s="98"/>
      <x:c r="I71" s="98"/>
      <x:c r="J71" s="100"/>
      <x:c r="K71" s="101"/>
      <x:c r="L71" s="100"/>
      <x:c r="M71" s="100"/>
      <x:c r="N71" s="101"/>
      <x:c r="O71" s="78"/>
    </x:row>
    <x:row r="72">
      <x:c r="A72" s="98"/>
      <x:c r="B72" s="98"/>
      <x:c r="C72" s="98"/>
      <x:c r="D72" s="98"/>
      <x:c r="E72" s="98"/>
      <x:c r="F72" s="98"/>
      <x:c r="G72" s="98"/>
      <x:c r="H72" s="98"/>
      <x:c r="I72" s="98"/>
      <x:c r="J72" s="100"/>
      <x:c r="K72" s="101"/>
      <x:c r="L72" s="100"/>
      <x:c r="M72" s="100"/>
      <x:c r="N72" s="101"/>
      <x:c r="O72" s="78"/>
    </x:row>
    <x:row r="73">
      <x:c r="A73" s="98"/>
      <x:c r="B73" s="98"/>
      <x:c r="C73" s="98"/>
      <x:c r="D73" s="98"/>
      <x:c r="E73" s="98"/>
      <x:c r="F73" s="98"/>
      <x:c r="G73" s="98"/>
      <x:c r="H73" s="98"/>
      <x:c r="I73" s="98"/>
      <x:c r="J73" s="100"/>
      <x:c r="K73" s="101"/>
      <x:c r="L73" s="100"/>
      <x:c r="M73" s="100"/>
      <x:c r="N73" s="101"/>
      <x:c r="O73" s="78"/>
    </x:row>
    <x:row r="74">
      <x:c r="A74" s="98"/>
      <x:c r="B74" s="98"/>
      <x:c r="C74" s="98"/>
      <x:c r="D74" s="98"/>
      <x:c r="E74" s="98"/>
      <x:c r="F74" s="98"/>
      <x:c r="G74" s="98"/>
      <x:c r="H74" s="98"/>
      <x:c r="I74" s="98"/>
      <x:c r="J74" s="100"/>
      <x:c r="K74" s="101"/>
      <x:c r="L74" s="100"/>
      <x:c r="M74" s="100"/>
      <x:c r="N74" s="101"/>
      <x:c r="O74" s="78"/>
    </x:row>
    <x:row r="75">
      <x:c r="A75" s="98"/>
      <x:c r="B75" s="98"/>
      <x:c r="C75" s="98"/>
      <x:c r="D75" s="98"/>
      <x:c r="E75" s="98"/>
      <x:c r="F75" s="98"/>
      <x:c r="G75" s="98"/>
      <x:c r="H75" s="98"/>
      <x:c r="I75" s="98"/>
      <x:c r="J75" s="100"/>
      <x:c r="K75" s="101"/>
      <x:c r="L75" s="100"/>
      <x:c r="M75" s="100"/>
      <x:c r="N75" s="101"/>
      <x:c r="O75" s="78"/>
    </x:row>
    <x:row r="76">
      <x:c r="A76" s="98"/>
      <x:c r="B76" s="98"/>
      <x:c r="C76" s="98"/>
      <x:c r="D76" s="98"/>
      <x:c r="E76" s="98"/>
      <x:c r="F76" s="98"/>
      <x:c r="G76" s="98"/>
      <x:c r="H76" s="98"/>
      <x:c r="I76" s="98"/>
      <x:c r="J76" s="100"/>
      <x:c r="K76" s="101"/>
      <x:c r="L76" s="100"/>
      <x:c r="M76" s="100"/>
      <x:c r="N76" s="101"/>
      <x:c r="O76" s="78"/>
    </x:row>
    <x:row r="77">
      <x:c r="A77" s="98"/>
      <x:c r="B77" s="98"/>
      <x:c r="C77" s="98"/>
      <x:c r="D77" s="98"/>
      <x:c r="E77" s="98"/>
      <x:c r="F77" s="98"/>
      <x:c r="G77" s="98"/>
      <x:c r="H77" s="98"/>
      <x:c r="I77" s="98"/>
      <x:c r="J77" s="100"/>
      <x:c r="K77" s="101"/>
      <x:c r="L77" s="100"/>
      <x:c r="M77" s="100"/>
      <x:c r="N77" s="101"/>
      <x:c r="O77" s="78"/>
    </x:row>
    <x:row r="78">
      <x:c r="A78" s="98"/>
      <x:c r="B78" s="98"/>
      <x:c r="C78" s="98"/>
      <x:c r="D78" s="98"/>
      <x:c r="E78" s="98"/>
      <x:c r="F78" s="98"/>
      <x:c r="G78" s="98"/>
      <x:c r="H78" s="98"/>
      <x:c r="I78" s="98"/>
      <x:c r="J78" s="100"/>
      <x:c r="K78" s="101"/>
      <x:c r="L78" s="100"/>
      <x:c r="M78" s="100"/>
      <x:c r="N78" s="101"/>
      <x:c r="O78" s="78"/>
    </x:row>
    <x:row r="79">
      <x:c r="A79" s="98"/>
      <x:c r="B79" s="98"/>
      <x:c r="C79" s="98"/>
      <x:c r="D79" s="98"/>
      <x:c r="E79" s="98"/>
      <x:c r="F79" s="98"/>
      <x:c r="G79" s="98"/>
      <x:c r="H79" s="98"/>
      <x:c r="I79" s="98"/>
      <x:c r="J79" s="100"/>
      <x:c r="K79" s="101"/>
      <x:c r="L79" s="100"/>
      <x:c r="M79" s="100"/>
      <x:c r="N79" s="101"/>
      <x:c r="O79" s="78"/>
    </x:row>
    <x:row r="80">
      <x:c r="A80" s="98"/>
      <x:c r="B80" s="98"/>
      <x:c r="C80" s="98"/>
      <x:c r="D80" s="98"/>
      <x:c r="E80" s="98"/>
      <x:c r="F80" s="98"/>
      <x:c r="G80" s="98"/>
      <x:c r="H80" s="98"/>
      <x:c r="I80" s="98"/>
      <x:c r="J80" s="100"/>
      <x:c r="K80" s="101"/>
      <x:c r="L80" s="100"/>
      <x:c r="M80" s="100"/>
      <x:c r="N80" s="101"/>
      <x:c r="O80" s="78"/>
    </x:row>
    <x:row r="81">
      <x:c r="A81" s="98"/>
      <x:c r="B81" s="98"/>
      <x:c r="C81" s="98"/>
      <x:c r="D81" s="98"/>
      <x:c r="E81" s="98"/>
      <x:c r="F81" s="98"/>
      <x:c r="G81" s="98"/>
      <x:c r="H81" s="98"/>
      <x:c r="I81" s="98"/>
      <x:c r="J81" s="100"/>
      <x:c r="K81" s="101"/>
      <x:c r="L81" s="100"/>
      <x:c r="M81" s="100"/>
      <x:c r="N81" s="101"/>
      <x:c r="O81" s="78"/>
    </x:row>
    <x:row r="82">
      <x:c r="A82" s="98"/>
      <x:c r="B82" s="98"/>
      <x:c r="C82" s="98"/>
      <x:c r="D82" s="98"/>
      <x:c r="E82" s="98"/>
      <x:c r="F82" s="98"/>
      <x:c r="G82" s="98"/>
      <x:c r="H82" s="98"/>
      <x:c r="I82" s="98"/>
      <x:c r="J82" s="100"/>
      <x:c r="K82" s="101"/>
      <x:c r="L82" s="100"/>
      <x:c r="M82" s="100"/>
      <x:c r="N82" s="101"/>
      <x:c r="O82" s="78"/>
    </x:row>
    <x:row r="83">
      <x:c r="A83" s="98"/>
      <x:c r="B83" s="98"/>
      <x:c r="C83" s="98"/>
      <x:c r="D83" s="98"/>
      <x:c r="E83" s="98"/>
      <x:c r="F83" s="98"/>
      <x:c r="G83" s="98"/>
      <x:c r="H83" s="98"/>
      <x:c r="I83" s="98"/>
      <x:c r="J83" s="100"/>
      <x:c r="K83" s="101"/>
      <x:c r="L83" s="100"/>
      <x:c r="M83" s="100"/>
      <x:c r="N83" s="101"/>
      <x:c r="O83" s="78"/>
    </x:row>
    <x:row r="84">
      <x:c r="A84" s="98"/>
      <x:c r="B84" s="98"/>
      <x:c r="C84" s="98"/>
      <x:c r="D84" s="98"/>
      <x:c r="E84" s="98"/>
      <x:c r="F84" s="98"/>
      <x:c r="G84" s="98"/>
      <x:c r="H84" s="98"/>
      <x:c r="I84" s="98"/>
      <x:c r="J84" s="100"/>
      <x:c r="K84" s="101"/>
      <x:c r="L84" s="100"/>
      <x:c r="M84" s="100"/>
      <x:c r="N84" s="101"/>
      <x:c r="O84" s="78"/>
    </x:row>
    <x:row r="85">
      <x:c r="A85" s="98"/>
      <x:c r="B85" s="98"/>
      <x:c r="C85" s="98"/>
      <x:c r="D85" s="98"/>
      <x:c r="E85" s="98"/>
      <x:c r="F85" s="98"/>
      <x:c r="G85" s="98"/>
      <x:c r="H85" s="98"/>
      <x:c r="I85" s="98"/>
      <x:c r="J85" s="100"/>
      <x:c r="K85" s="101"/>
      <x:c r="L85" s="100"/>
      <x:c r="M85" s="100"/>
      <x:c r="N85" s="101"/>
      <x:c r="O85" s="78"/>
    </x:row>
    <x:row r="86">
      <x:c r="A86" s="98"/>
      <x:c r="B86" s="98"/>
      <x:c r="C86" s="98"/>
      <x:c r="D86" s="98"/>
      <x:c r="E86" s="98"/>
      <x:c r="F86" s="98"/>
      <x:c r="G86" s="98"/>
      <x:c r="H86" s="98"/>
      <x:c r="I86" s="98"/>
      <x:c r="J86" s="100"/>
      <x:c r="K86" s="101"/>
      <x:c r="L86" s="100"/>
      <x:c r="M86" s="100"/>
      <x:c r="N86" s="101"/>
      <x:c r="O86" s="78"/>
    </x:row>
    <x:row r="87">
      <x:c r="A87" s="98"/>
      <x:c r="B87" s="98"/>
      <x:c r="C87" s="98"/>
      <x:c r="D87" s="98"/>
      <x:c r="E87" s="98"/>
      <x:c r="F87" s="98"/>
      <x:c r="G87" s="98"/>
      <x:c r="H87" s="98"/>
      <x:c r="I87" s="98"/>
      <x:c r="J87" s="100"/>
      <x:c r="K87" s="101"/>
      <x:c r="L87" s="100"/>
      <x:c r="M87" s="100"/>
      <x:c r="N87" s="101"/>
      <x:c r="O87" s="78"/>
    </x:row>
    <x:row r="88">
      <x:c r="A88" s="98"/>
      <x:c r="B88" s="98"/>
      <x:c r="C88" s="98"/>
      <x:c r="D88" s="98"/>
      <x:c r="E88" s="98"/>
      <x:c r="F88" s="98"/>
      <x:c r="G88" s="98"/>
      <x:c r="H88" s="98"/>
      <x:c r="I88" s="98"/>
      <x:c r="J88" s="100"/>
      <x:c r="K88" s="101"/>
      <x:c r="L88" s="100"/>
      <x:c r="M88" s="100"/>
      <x:c r="N88" s="101"/>
      <x:c r="O88" s="78"/>
    </x:row>
    <x:row r="89">
      <x:c r="A89" s="98"/>
      <x:c r="B89" s="98"/>
      <x:c r="C89" s="98"/>
      <x:c r="D89" s="98"/>
      <x:c r="E89" s="98"/>
      <x:c r="F89" s="98"/>
      <x:c r="G89" s="98"/>
      <x:c r="H89" s="98"/>
      <x:c r="I89" s="98"/>
      <x:c r="J89" s="100"/>
      <x:c r="K89" s="101"/>
      <x:c r="L89" s="100"/>
      <x:c r="M89" s="100"/>
      <x:c r="N89" s="101"/>
      <x:c r="O89" s="78"/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100"/>
      <x:c r="K90" s="101"/>
      <x:c r="L90" s="100"/>
      <x:c r="M90" s="100"/>
      <x:c r="N90" s="101"/>
      <x:c r="O90" s="7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100"/>
      <x:c r="K91" s="101"/>
      <x:c r="L91" s="100"/>
      <x:c r="M91" s="100"/>
      <x:c r="N91" s="101"/>
      <x:c r="O91" s="7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100"/>
      <x:c r="K92" s="101"/>
      <x:c r="L92" s="100"/>
      <x:c r="M92" s="100"/>
      <x:c r="N92" s="101"/>
      <x:c r="O92" s="7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100"/>
      <x:c r="K93" s="101"/>
      <x:c r="L93" s="100"/>
      <x:c r="M93" s="100"/>
      <x:c r="N93" s="101"/>
      <x:c r="O93" s="7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100"/>
      <x:c r="K94" s="101"/>
      <x:c r="L94" s="100"/>
      <x:c r="M94" s="100"/>
      <x:c r="N94" s="101"/>
      <x:c r="O94" s="7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100"/>
      <x:c r="K95" s="101"/>
      <x:c r="L95" s="100"/>
      <x:c r="M95" s="100"/>
      <x:c r="N95" s="101"/>
      <x:c r="O95" s="7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100"/>
      <x:c r="K96" s="101"/>
      <x:c r="L96" s="100"/>
      <x:c r="M96" s="100"/>
      <x:c r="N96" s="101"/>
      <x:c r="O96" s="7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100"/>
      <x:c r="K97" s="101"/>
      <x:c r="L97" s="100"/>
      <x:c r="M97" s="100"/>
      <x:c r="N97" s="101"/>
      <x:c r="O97" s="7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100"/>
      <x:c r="K98" s="101"/>
      <x:c r="L98" s="100"/>
      <x:c r="M98" s="100"/>
      <x:c r="N98" s="101"/>
      <x:c r="O98" s="7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100"/>
      <x:c r="K99" s="101"/>
      <x:c r="L99" s="100"/>
      <x:c r="M99" s="100"/>
      <x:c r="N99" s="101"/>
      <x:c r="O99" s="7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100"/>
      <x:c r="K100" s="101"/>
      <x:c r="L100" s="100"/>
      <x:c r="M100" s="100"/>
      <x:c r="N100" s="101"/>
      <x:c r="O100" s="78"/>
    </x:row>
    <x:row r="101">
      <x:c r="J101" s="72"/>
      <x:c r="K101" s="78"/>
      <x:c r="L101" s="72"/>
      <x:c r="M101" s="72"/>
      <x:c r="N101" s="78"/>
      <x:c r="O101" s="78"/>
    </x:row>
    <x:row r="102">
      <x:c r="J102" s="72"/>
      <x:c r="K102" s="78"/>
      <x:c r="L102" s="72"/>
      <x:c r="M102" s="72"/>
      <x:c r="N102" s="78"/>
      <x:c r="O102" s="78"/>
    </x:row>
    <x:row r="103">
      <x:c r="J103" s="72"/>
      <x:c r="K103" s="78"/>
      <x:c r="L103" s="72"/>
      <x:c r="M103" s="72"/>
      <x:c r="N103" s="78"/>
      <x:c r="O103" s="78"/>
    </x:row>
    <x:row r="104">
      <x:c r="J104" s="72"/>
      <x:c r="K104" s="78"/>
      <x:c r="L104" s="72"/>
      <x:c r="M104" s="72"/>
      <x:c r="N104" s="78"/>
      <x:c r="O104" s="78"/>
    </x:row>
    <x:row r="105">
      <x:c r="J105" s="72"/>
      <x:c r="K105" s="78"/>
      <x:c r="L105" s="72"/>
      <x:c r="M105" s="72"/>
      <x:c r="N105" s="78"/>
      <x:c r="O105" s="78"/>
    </x:row>
    <x:row r="106">
      <x:c r="J106" s="72"/>
      <x:c r="K106" s="78"/>
      <x:c r="L106" s="72"/>
      <x:c r="M106" s="72"/>
      <x:c r="N106" s="78"/>
      <x:c r="O106" s="78"/>
    </x:row>
    <x:row r="107">
      <x:c r="J107" s="72"/>
      <x:c r="K107" s="78"/>
      <x:c r="L107" s="72"/>
      <x:c r="M107" s="72"/>
      <x:c r="N107" s="78"/>
      <x:c r="O107" s="78"/>
    </x:row>
    <x:row r="108">
      <x:c r="J108" s="72"/>
      <x:c r="K108" s="78"/>
      <x:c r="L108" s="72"/>
      <x:c r="M108" s="72"/>
      <x:c r="N108" s="78"/>
      <x:c r="O108" s="78"/>
    </x:row>
    <x:row r="109">
      <x:c r="J109" s="72"/>
      <x:c r="K109" s="78"/>
      <x:c r="L109" s="72"/>
      <x:c r="M109" s="72"/>
      <x:c r="N109" s="78"/>
      <x:c r="O109" s="78"/>
    </x:row>
    <x:row r="110">
      <x:c r="J110" s="72"/>
      <x:c r="K110" s="78"/>
      <x:c r="L110" s="72"/>
      <x:c r="M110" s="72"/>
      <x:c r="N110" s="78"/>
      <x:c r="O110" s="78"/>
    </x:row>
    <x:row r="111">
      <x:c r="J111" s="72"/>
      <x:c r="K111" s="78"/>
      <x:c r="L111" s="72"/>
      <x:c r="M111" s="72"/>
      <x:c r="N111" s="78"/>
      <x:c r="O111" s="78"/>
    </x:row>
    <x:row r="112">
      <x:c r="J112" s="72"/>
      <x:c r="K112" s="78"/>
      <x:c r="L112" s="72"/>
      <x:c r="M112" s="72"/>
      <x:c r="N112" s="78"/>
      <x:c r="O112" s="78"/>
    </x:row>
    <x:row r="113">
      <x:c r="J113" s="72"/>
      <x:c r="K113" s="78"/>
      <x:c r="L113" s="72"/>
      <x:c r="M113" s="72"/>
      <x:c r="N113" s="78"/>
      <x:c r="O113" s="78"/>
    </x:row>
    <x:row r="114">
      <x:c r="J114" s="72"/>
      <x:c r="K114" s="78"/>
      <x:c r="L114" s="72"/>
      <x:c r="M114" s="72"/>
      <x:c r="N114" s="78"/>
      <x:c r="O114" s="78"/>
    </x:row>
    <x:row r="115">
      <x:c r="J115" s="72"/>
      <x:c r="K115" s="78"/>
      <x:c r="L115" s="72"/>
      <x:c r="M115" s="72"/>
      <x:c r="N115" s="78"/>
      <x:c r="O115" s="78"/>
    </x:row>
    <x:row r="116">
      <x:c r="J116" s="72"/>
      <x:c r="K116" s="78"/>
      <x:c r="L116" s="72"/>
      <x:c r="M116" s="72"/>
      <x:c r="N116" s="78"/>
      <x:c r="O116" s="78"/>
    </x:row>
    <x:row r="117">
      <x:c r="J117" s="72"/>
      <x:c r="K117" s="78"/>
      <x:c r="L117" s="72"/>
      <x:c r="M117" s="72"/>
      <x:c r="N117" s="78"/>
      <x:c r="O117" s="78"/>
    </x:row>
    <x:row r="118">
      <x:c r="J118" s="72"/>
      <x:c r="K118" s="78"/>
      <x:c r="L118" s="72"/>
      <x:c r="M118" s="72"/>
      <x:c r="N118" s="78"/>
      <x:c r="O118" s="78"/>
    </x:row>
    <x:row r="119">
      <x:c r="J119" s="72"/>
      <x:c r="K119" s="78"/>
      <x:c r="L119" s="72"/>
      <x:c r="M119" s="72"/>
      <x:c r="N119" s="78"/>
      <x:c r="O119" s="78"/>
    </x:row>
    <x:row r="120">
      <x:c r="J120" s="72"/>
      <x:c r="K120" s="78"/>
      <x:c r="L120" s="72"/>
      <x:c r="M120" s="72"/>
      <x:c r="N120" s="78"/>
      <x:c r="O120" s="78"/>
    </x:row>
    <x:row r="121">
      <x:c r="J121" s="72"/>
      <x:c r="K121" s="78"/>
      <x:c r="L121" s="72"/>
      <x:c r="M121" s="72"/>
      <x:c r="N121" s="78"/>
      <x:c r="O121" s="78"/>
    </x:row>
    <x:row r="122">
      <x:c r="J122" s="72"/>
      <x:c r="K122" s="78"/>
      <x:c r="L122" s="72"/>
      <x:c r="M122" s="72"/>
      <x:c r="N122" s="78"/>
      <x:c r="O122" s="78"/>
    </x:row>
    <x:row r="123">
      <x:c r="J123" s="72"/>
      <x:c r="K123" s="78"/>
      <x:c r="L123" s="72"/>
      <x:c r="M123" s="72"/>
      <x:c r="N123" s="78"/>
      <x:c r="O123" s="78"/>
    </x:row>
    <x:row r="124">
      <x:c r="J124" s="72"/>
      <x:c r="K124" s="78"/>
      <x:c r="L124" s="72"/>
      <x:c r="M124" s="72"/>
      <x:c r="N124" s="78"/>
      <x:c r="O124" s="78"/>
    </x:row>
    <x:row r="125">
      <x:c r="J125" s="72"/>
      <x:c r="K125" s="78"/>
      <x:c r="L125" s="72"/>
      <x:c r="M125" s="72"/>
      <x:c r="N125" s="78"/>
      <x:c r="O125" s="78"/>
    </x:row>
    <x:row r="126">
      <x:c r="J126" s="72"/>
      <x:c r="K126" s="78"/>
      <x:c r="L126" s="72"/>
      <x:c r="M126" s="72"/>
      <x:c r="N126" s="78"/>
      <x:c r="O126" s="78"/>
    </x:row>
    <x:row r="127">
      <x:c r="J127" s="72"/>
      <x:c r="K127" s="78"/>
      <x:c r="L127" s="72"/>
      <x:c r="M127" s="72"/>
      <x:c r="N127" s="78"/>
      <x:c r="O127" s="78"/>
    </x:row>
    <x:row r="128">
      <x:c r="J128" s="72"/>
      <x:c r="K128" s="78"/>
      <x:c r="L128" s="72"/>
      <x:c r="M128" s="72"/>
      <x:c r="N128" s="78"/>
      <x:c r="O128" s="78"/>
    </x:row>
    <x:row r="129">
      <x:c r="J129" s="72"/>
      <x:c r="K129" s="78"/>
      <x:c r="L129" s="72"/>
      <x:c r="M129" s="72"/>
      <x:c r="N129" s="78"/>
      <x:c r="O129" s="78"/>
    </x:row>
    <x:row r="130">
      <x:c r="J130" s="72"/>
      <x:c r="K130" s="78"/>
      <x:c r="L130" s="72"/>
      <x:c r="M130" s="72"/>
      <x:c r="N130" s="78"/>
      <x:c r="O130" s="78"/>
    </x:row>
    <x:row r="131">
      <x:c r="J131" s="72"/>
      <x:c r="K131" s="78"/>
      <x:c r="L131" s="72"/>
      <x:c r="M131" s="72"/>
      <x:c r="N131" s="78"/>
      <x:c r="O131" s="78"/>
    </x:row>
    <x:row r="132">
      <x:c r="J132" s="72"/>
      <x:c r="K132" s="78"/>
      <x:c r="L132" s="72"/>
      <x:c r="M132" s="72"/>
      <x:c r="N132" s="78"/>
      <x:c r="O132" s="78"/>
    </x:row>
    <x:row r="133">
      <x:c r="J133" s="72"/>
      <x:c r="K133" s="78"/>
      <x:c r="L133" s="72"/>
      <x:c r="M133" s="72"/>
      <x:c r="N133" s="78"/>
      <x:c r="O133" s="78"/>
    </x:row>
    <x:row r="134">
      <x:c r="J134" s="72"/>
      <x:c r="K134" s="78"/>
      <x:c r="L134" s="72"/>
      <x:c r="M134" s="72"/>
      <x:c r="N134" s="78"/>
      <x:c r="O134" s="78"/>
    </x:row>
    <x:row r="135">
      <x:c r="J135" s="72"/>
      <x:c r="K135" s="78"/>
      <x:c r="L135" s="72"/>
      <x:c r="M135" s="72"/>
      <x:c r="N135" s="78"/>
      <x:c r="O135" s="78"/>
    </x:row>
    <x:row r="136">
      <x:c r="J136" s="72"/>
      <x:c r="K136" s="78"/>
      <x:c r="L136" s="72"/>
      <x:c r="M136" s="72"/>
      <x:c r="N136" s="78"/>
      <x:c r="O136" s="78"/>
    </x:row>
    <x:row r="137">
      <x:c r="J137" s="72"/>
      <x:c r="K137" s="78"/>
      <x:c r="L137" s="72"/>
      <x:c r="M137" s="72"/>
      <x:c r="N137" s="78"/>
      <x:c r="O137" s="78"/>
    </x:row>
    <x:row r="138">
      <x:c r="J138" s="72"/>
      <x:c r="K138" s="78"/>
      <x:c r="L138" s="72"/>
      <x:c r="M138" s="72"/>
      <x:c r="N138" s="78"/>
      <x:c r="O138" s="78"/>
    </x:row>
    <x:row r="139">
      <x:c r="J139" s="72"/>
      <x:c r="K139" s="78"/>
      <x:c r="L139" s="72"/>
      <x:c r="M139" s="72"/>
      <x:c r="N139" s="78"/>
      <x:c r="O139" s="78"/>
    </x:row>
    <x:row r="140">
      <x:c r="J140" s="72"/>
      <x:c r="K140" s="78"/>
      <x:c r="L140" s="72"/>
      <x:c r="M140" s="72"/>
      <x:c r="N140" s="78"/>
      <x:c r="O140" s="78"/>
    </x:row>
    <x:row r="141">
      <x:c r="J141" s="72"/>
      <x:c r="K141" s="78"/>
      <x:c r="L141" s="72"/>
      <x:c r="M141" s="72"/>
      <x:c r="N141" s="78"/>
      <x:c r="O141" s="78"/>
    </x:row>
    <x:row r="142">
      <x:c r="J142" s="72"/>
      <x:c r="K142" s="78"/>
      <x:c r="L142" s="72"/>
      <x:c r="M142" s="72"/>
      <x:c r="N142" s="78"/>
      <x:c r="O142" s="78"/>
    </x:row>
    <x:row r="143">
      <x:c r="J143" s="72"/>
      <x:c r="K143" s="78"/>
      <x:c r="L143" s="72"/>
      <x:c r="M143" s="72"/>
      <x:c r="N143" s="78"/>
      <x:c r="O143" s="78"/>
    </x:row>
    <x:row r="144">
      <x:c r="J144" s="72"/>
      <x:c r="K144" s="78"/>
      <x:c r="L144" s="72"/>
      <x:c r="M144" s="72"/>
      <x:c r="N144" s="78"/>
      <x:c r="O144" s="78"/>
    </x:row>
    <x:row r="145">
      <x:c r="J145" s="72"/>
      <x:c r="K145" s="78"/>
      <x:c r="L145" s="72"/>
      <x:c r="M145" s="72"/>
      <x:c r="N145" s="78"/>
      <x:c r="O145" s="78"/>
    </x:row>
    <x:row r="146">
      <x:c r="J146" s="72"/>
      <x:c r="K146" s="78"/>
      <x:c r="L146" s="72"/>
      <x:c r="M146" s="72"/>
      <x:c r="N146" s="78"/>
      <x:c r="O146" s="78"/>
    </x:row>
    <x:row r="147">
      <x:c r="J147" s="72"/>
      <x:c r="K147" s="78"/>
      <x:c r="L147" s="72"/>
      <x:c r="M147" s="72"/>
      <x:c r="N147" s="78"/>
      <x:c r="O147" s="78"/>
    </x:row>
    <x:row r="148">
      <x:c r="J148" s="72"/>
      <x:c r="K148" s="78"/>
      <x:c r="L148" s="72"/>
      <x:c r="M148" s="72"/>
      <x:c r="N148" s="78"/>
      <x:c r="O148" s="78"/>
    </x:row>
    <x:row r="149">
      <x:c r="J149" s="72"/>
      <x:c r="K149" s="78"/>
      <x:c r="L149" s="72"/>
      <x:c r="M149" s="72"/>
      <x:c r="N149" s="78"/>
      <x:c r="O149" s="78"/>
    </x:row>
    <x:row r="150">
      <x:c r="J150" s="72"/>
      <x:c r="K150" s="78"/>
      <x:c r="L150" s="72"/>
      <x:c r="M150" s="72"/>
      <x:c r="N150" s="78"/>
      <x:c r="O150" s="78"/>
    </x:row>
    <x:row r="151">
      <x:c r="J151" s="72"/>
      <x:c r="K151" s="78"/>
      <x:c r="L151" s="72"/>
      <x:c r="M151" s="72"/>
      <x:c r="N151" s="78"/>
      <x:c r="O151" s="78"/>
    </x:row>
    <x:row r="152">
      <x:c r="J152" s="72"/>
      <x:c r="K152" s="78"/>
      <x:c r="L152" s="72"/>
      <x:c r="M152" s="72"/>
      <x:c r="N152" s="78"/>
      <x:c r="O152" s="78"/>
    </x:row>
    <x:row r="153">
      <x:c r="J153" s="72"/>
      <x:c r="K153" s="78"/>
      <x:c r="L153" s="72"/>
      <x:c r="M153" s="72"/>
      <x:c r="N153" s="78"/>
      <x:c r="O153" s="78"/>
    </x:row>
    <x:row r="154">
      <x:c r="J154" s="72"/>
      <x:c r="K154" s="78"/>
      <x:c r="L154" s="72"/>
      <x:c r="M154" s="72"/>
      <x:c r="N154" s="78"/>
      <x:c r="O154" s="78"/>
    </x:row>
    <x:row r="155">
      <x:c r="J155" s="72"/>
      <x:c r="K155" s="78"/>
      <x:c r="L155" s="72"/>
      <x:c r="M155" s="72"/>
      <x:c r="N155" s="78"/>
      <x:c r="O155" s="78"/>
    </x:row>
    <x:row r="156">
      <x:c r="J156" s="72"/>
      <x:c r="K156" s="78"/>
      <x:c r="L156" s="72"/>
      <x:c r="M156" s="72"/>
      <x:c r="N156" s="78"/>
      <x:c r="O156" s="78"/>
    </x:row>
    <x:row r="157">
      <x:c r="J157" s="72"/>
      <x:c r="K157" s="78"/>
      <x:c r="L157" s="72"/>
      <x:c r="M157" s="72"/>
      <x:c r="N157" s="78"/>
      <x:c r="O157" s="78"/>
    </x:row>
    <x:row r="158">
      <x:c r="J158" s="72"/>
      <x:c r="K158" s="78"/>
      <x:c r="L158" s="72"/>
      <x:c r="M158" s="72"/>
      <x:c r="N158" s="78"/>
      <x:c r="O158" s="78"/>
    </x:row>
    <x:row r="159">
      <x:c r="J159" s="72"/>
      <x:c r="K159" s="78"/>
      <x:c r="L159" s="72"/>
      <x:c r="M159" s="72"/>
      <x:c r="N159" s="78"/>
      <x:c r="O159" s="78"/>
    </x:row>
    <x:row r="160">
      <x:c r="J160" s="72"/>
      <x:c r="K160" s="78"/>
      <x:c r="L160" s="72"/>
      <x:c r="M160" s="72"/>
      <x:c r="N160" s="78"/>
      <x:c r="O160" s="78"/>
    </x:row>
    <x:row r="161">
      <x:c r="J161" s="72"/>
      <x:c r="K161" s="78"/>
      <x:c r="L161" s="72"/>
      <x:c r="M161" s="72"/>
      <x:c r="N161" s="78"/>
      <x:c r="O161" s="78"/>
    </x:row>
    <x:row r="162">
      <x:c r="J162" s="72"/>
      <x:c r="K162" s="78"/>
      <x:c r="L162" s="72"/>
      <x:c r="M162" s="72"/>
      <x:c r="N162" s="78"/>
      <x:c r="O162" s="78"/>
    </x:row>
    <x:row r="163">
      <x:c r="J163" s="72"/>
      <x:c r="K163" s="78"/>
      <x:c r="L163" s="72"/>
      <x:c r="M163" s="72"/>
      <x:c r="N163" s="78"/>
      <x:c r="O163" s="78"/>
    </x:row>
    <x:row r="164">
      <x:c r="J164" s="72"/>
      <x:c r="K164" s="78"/>
      <x:c r="L164" s="72"/>
      <x:c r="M164" s="72"/>
      <x:c r="N164" s="78"/>
      <x:c r="O164" s="78"/>
    </x:row>
    <x:row r="165">
      <x:c r="J165" s="72"/>
      <x:c r="K165" s="78"/>
      <x:c r="L165" s="72"/>
      <x:c r="M165" s="72"/>
      <x:c r="N165" s="78"/>
      <x:c r="O165" s="78"/>
    </x:row>
    <x:row r="166">
      <x:c r="J166" s="72"/>
      <x:c r="K166" s="78"/>
      <x:c r="L166" s="72"/>
      <x:c r="M166" s="72"/>
      <x:c r="N166" s="78"/>
      <x:c r="O166" s="78"/>
    </x:row>
    <x:row r="167">
      <x:c r="J167" s="72"/>
      <x:c r="K167" s="78"/>
      <x:c r="L167" s="72"/>
      <x:c r="M167" s="72"/>
      <x:c r="N167" s="78"/>
      <x:c r="O167" s="78"/>
    </x:row>
    <x:row r="168">
      <x:c r="J168" s="72"/>
      <x:c r="K168" s="78"/>
      <x:c r="L168" s="72"/>
      <x:c r="M168" s="72"/>
      <x:c r="N168" s="78"/>
      <x:c r="O168" s="78"/>
    </x:row>
    <x:row r="169">
      <x:c r="J169" s="72"/>
      <x:c r="K169" s="78"/>
      <x:c r="L169" s="72"/>
      <x:c r="M169" s="72"/>
      <x:c r="N169" s="78"/>
      <x:c r="O169" s="78"/>
    </x:row>
    <x:row r="170">
      <x:c r="J170" s="72"/>
      <x:c r="K170" s="78"/>
      <x:c r="L170" s="72"/>
      <x:c r="M170" s="72"/>
      <x:c r="N170" s="78"/>
      <x:c r="O170" s="78"/>
    </x:row>
    <x:row r="171">
      <x:c r="J171" s="72"/>
      <x:c r="K171" s="78"/>
      <x:c r="L171" s="72"/>
      <x:c r="M171" s="72"/>
      <x:c r="N171" s="78"/>
      <x:c r="O171" s="78"/>
    </x:row>
    <x:row r="172">
      <x:c r="J172" s="72"/>
      <x:c r="K172" s="78"/>
      <x:c r="L172" s="72"/>
      <x:c r="M172" s="72"/>
      <x:c r="N172" s="78"/>
      <x:c r="O172" s="78"/>
    </x:row>
    <x:row r="173">
      <x:c r="J173" s="72"/>
      <x:c r="K173" s="78"/>
      <x:c r="L173" s="72"/>
      <x:c r="M173" s="72"/>
      <x:c r="N173" s="78"/>
      <x:c r="O173" s="78"/>
    </x:row>
    <x:row r="174">
      <x:c r="J174" s="72"/>
      <x:c r="K174" s="78"/>
      <x:c r="L174" s="72"/>
      <x:c r="M174" s="72"/>
      <x:c r="N174" s="78"/>
      <x:c r="O174" s="78"/>
    </x:row>
    <x:row r="175">
      <x:c r="J175" s="72"/>
      <x:c r="K175" s="78"/>
      <x:c r="L175" s="72"/>
      <x:c r="M175" s="72"/>
      <x:c r="N175" s="78"/>
      <x:c r="O175" s="78"/>
    </x:row>
    <x:row r="176">
      <x:c r="J176" s="72"/>
      <x:c r="K176" s="78"/>
      <x:c r="L176" s="72"/>
      <x:c r="M176" s="72"/>
      <x:c r="N176" s="78"/>
      <x:c r="O176" s="78"/>
    </x:row>
    <x:row r="177">
      <x:c r="J177" s="72"/>
      <x:c r="K177" s="78"/>
      <x:c r="L177" s="72"/>
      <x:c r="M177" s="72"/>
      <x:c r="N177" s="78"/>
      <x:c r="O177" s="78"/>
    </x:row>
    <x:row r="178">
      <x:c r="J178" s="72"/>
      <x:c r="K178" s="78"/>
      <x:c r="L178" s="72"/>
      <x:c r="M178" s="72"/>
      <x:c r="N178" s="78"/>
      <x:c r="O178" s="78"/>
    </x:row>
    <x:row r="179">
      <x:c r="J179" s="72"/>
      <x:c r="K179" s="78"/>
      <x:c r="L179" s="72"/>
      <x:c r="M179" s="72"/>
      <x:c r="N179" s="78"/>
      <x:c r="O179" s="78"/>
    </x:row>
    <x:row r="180">
      <x:c r="J180" s="72"/>
      <x:c r="K180" s="78"/>
      <x:c r="L180" s="72"/>
      <x:c r="M180" s="72"/>
      <x:c r="N180" s="78"/>
      <x:c r="O180" s="78"/>
    </x:row>
    <x:row r="181">
      <x:c r="J181" s="72"/>
      <x:c r="K181" s="78"/>
      <x:c r="L181" s="72"/>
      <x:c r="M181" s="72"/>
      <x:c r="N181" s="78"/>
      <x:c r="O181" s="78"/>
    </x:row>
    <x:row r="182">
      <x:c r="J182" s="72"/>
      <x:c r="K182" s="78"/>
      <x:c r="L182" s="72"/>
      <x:c r="M182" s="72"/>
      <x:c r="N182" s="78"/>
      <x:c r="O182" s="78"/>
    </x:row>
    <x:row r="183">
      <x:c r="J183" s="72"/>
      <x:c r="K183" s="78"/>
      <x:c r="L183" s="72"/>
      <x:c r="M183" s="72"/>
      <x:c r="N183" s="78"/>
      <x:c r="O183" s="78"/>
    </x:row>
    <x:row r="184">
      <x:c r="J184" s="72"/>
      <x:c r="K184" s="78"/>
      <x:c r="L184" s="72"/>
      <x:c r="M184" s="72"/>
      <x:c r="N184" s="78"/>
      <x:c r="O184" s="78"/>
    </x:row>
    <x:row r="185">
      <x:c r="J185" s="72"/>
      <x:c r="K185" s="78"/>
      <x:c r="L185" s="72"/>
      <x:c r="M185" s="72"/>
      <x:c r="N185" s="78"/>
      <x:c r="O185" s="78"/>
    </x:row>
    <x:row r="186">
      <x:c r="J186" s="72"/>
      <x:c r="K186" s="78"/>
      <x:c r="L186" s="72"/>
      <x:c r="M186" s="72"/>
      <x:c r="N186" s="78"/>
      <x:c r="O186" s="78"/>
    </x:row>
    <x:row r="187">
      <x:c r="J187" s="72"/>
      <x:c r="K187" s="78"/>
      <x:c r="L187" s="72"/>
      <x:c r="M187" s="72"/>
      <x:c r="N187" s="78"/>
      <x:c r="O187" s="78"/>
    </x:row>
    <x:row r="188">
      <x:c r="J188" s="72"/>
      <x:c r="K188" s="78"/>
      <x:c r="L188" s="72"/>
      <x:c r="M188" s="72"/>
      <x:c r="N188" s="78"/>
      <x:c r="O188" s="78"/>
    </x:row>
    <x:row r="189">
      <x:c r="J189" s="72"/>
      <x:c r="K189" s="78"/>
      <x:c r="L189" s="72"/>
      <x:c r="M189" s="72"/>
      <x:c r="N189" s="78"/>
      <x:c r="O189" s="78"/>
    </x:row>
    <x:row r="190">
      <x:c r="J190" s="72"/>
      <x:c r="K190" s="78"/>
      <x:c r="L190" s="72"/>
      <x:c r="M190" s="72"/>
      <x:c r="N190" s="78"/>
      <x:c r="O190" s="78"/>
    </x:row>
    <x:row r="191">
      <x:c r="J191" s="72"/>
      <x:c r="K191" s="78"/>
      <x:c r="L191" s="72"/>
      <x:c r="M191" s="72"/>
      <x:c r="N191" s="78"/>
      <x:c r="O191" s="78"/>
    </x:row>
    <x:row r="192">
      <x:c r="J192" s="72"/>
      <x:c r="K192" s="78"/>
      <x:c r="L192" s="72"/>
      <x:c r="M192" s="72"/>
      <x:c r="N192" s="78"/>
      <x:c r="O192" s="78"/>
    </x:row>
    <x:row r="193">
      <x:c r="J193" s="72"/>
      <x:c r="K193" s="78"/>
      <x:c r="L193" s="72"/>
      <x:c r="M193" s="72"/>
      <x:c r="N193" s="78"/>
      <x:c r="O193" s="78"/>
    </x:row>
    <x:row r="194">
      <x:c r="J194" s="72"/>
      <x:c r="K194" s="78"/>
      <x:c r="L194" s="72"/>
      <x:c r="M194" s="72"/>
      <x:c r="N194" s="78"/>
      <x:c r="O194" s="78"/>
    </x:row>
    <x:row r="195">
      <x:c r="J195" s="72"/>
      <x:c r="K195" s="78"/>
      <x:c r="L195" s="72"/>
      <x:c r="M195" s="72"/>
      <x:c r="N195" s="78"/>
      <x:c r="O195" s="78"/>
    </x:row>
    <x:row r="196">
      <x:c r="J196" s="72"/>
      <x:c r="K196" s="78"/>
      <x:c r="L196" s="72"/>
      <x:c r="M196" s="72"/>
      <x:c r="N196" s="78"/>
      <x:c r="O196" s="78"/>
    </x:row>
    <x:row r="197">
      <x:c r="J197" s="72"/>
      <x:c r="K197" s="78"/>
      <x:c r="L197" s="72"/>
      <x:c r="M197" s="72"/>
      <x:c r="N197" s="78"/>
      <x:c r="O197" s="78"/>
    </x:row>
    <x:row r="198">
      <x:c r="J198" s="72"/>
      <x:c r="K198" s="78"/>
      <x:c r="L198" s="72"/>
      <x:c r="M198" s="72"/>
      <x:c r="N198" s="78"/>
      <x:c r="O198" s="78"/>
    </x:row>
    <x:row r="199">
      <x:c r="J199" s="72"/>
      <x:c r="K199" s="78"/>
      <x:c r="L199" s="72"/>
      <x:c r="M199" s="72"/>
      <x:c r="N199" s="78"/>
      <x:c r="O199" s="78"/>
    </x:row>
    <x:row r="200">
      <x:c r="J200" s="72"/>
      <x:c r="K200" s="78"/>
      <x:c r="L200" s="72"/>
      <x:c r="M200" s="72"/>
      <x:c r="N200" s="78"/>
      <x:c r="O200" s="78"/>
    </x:row>
  </x:sheetData>
  <x:mergeCells>
    <x:mergeCell ref="A1:N1"/>
    <x:mergeCell ref="A2:N2"/>
    <x:mergeCell ref="A1:Q1"/>
    <x:mergeCell ref="A2:Q2"/>
  </x:mergeCells>
  <x:dataValidations count="25">
    <x:dataValidation type="list" sqref="H4:H200">
      <x:formula1>"FIXED,LINEAR,STEP,EVENT,MEASURED"</x:formula1>
    </x:dataValidation>
    <x:dataValidation type="list" sqref="N4:N200">
      <x:formula1>"true,false"</x:formula1>
    </x:dataValidation>
    <x:dataValidation type="list" sqref="H13">
      <x:formula1>"FIXED,LINEAR,STEP,EVENT,MEASURED"</x:formula1>
    </x:dataValidation>
    <x:dataValidation type="list" sqref="N13">
      <x:formula1>"true,false"</x:formula1>
    </x:dataValidation>
    <x:dataValidation type="list" sqref="E4:E200">
      <x:formula1>"Bestand,Planung"</x:formula1>
    </x:dataValidation>
    <x:dataValidation type="list" sqref="I4:I200">
      <x:formula1>"FIXED,LINEAR,STEP,EVENT,MEASURED"</x:formula1>
    </x:dataValidation>
    <x:dataValidation type="list" sqref="Q4:Q200">
      <x:formula1>"true,false"</x:formula1>
    </x:dataValidation>
    <x:dataValidation type="list" sqref="E15:E18">
      <x:formula1>"Bestand,Planung"</x:formula1>
    </x:dataValidation>
    <x:dataValidation type="list" sqref="I15:I18">
      <x:formula1>"FIXED,LINEAR,STEP,EVENT,MEASURED"</x:formula1>
    </x:dataValidation>
    <x:dataValidation type="list" sqref="Q15:Q18">
      <x:formula1>"true,false"</x:formula1>
    </x:dataValidation>
    <x:dataValidation type="list" sqref="E35:E38">
      <x:formula1>"Bestand,Planung"</x:formula1>
    </x:dataValidation>
    <x:dataValidation type="list" sqref="I35:I38">
      <x:formula1>"FIXED,LINEAR,STEP,EVENT,MEASURED"</x:formula1>
    </x:dataValidation>
    <x:dataValidation type="list" sqref="Q35:Q38">
      <x:formula1>"true,false"</x:formula1>
    </x:dataValidation>
    <x:dataValidation type="list" sqref="E39:E47">
      <x:formula1>"Bestand,Planung"</x:formula1>
    </x:dataValidation>
    <x:dataValidation type="list" sqref="I39:I47">
      <x:formula1>"FIXED,LINEAR,STEP,EVENT,MEASURED"</x:formula1>
    </x:dataValidation>
    <x:dataValidation type="list" sqref="Q39:Q47">
      <x:formula1>"true,false"</x:formula1>
    </x:dataValidation>
    <x:dataValidation type="list" sqref="E27:E30">
      <x:formula1>"Bestand,Planung"</x:formula1>
    </x:dataValidation>
    <x:dataValidation type="list" sqref="I27:I30">
      <x:formula1>"FIXED,LINEAR,STEP,EVENT,MEASURED"</x:formula1>
    </x:dataValidation>
    <x:dataValidation type="list" sqref="Q27:Q30">
      <x:formula1>"true,false"</x:formula1>
    </x:dataValidation>
    <x:dataValidation type="list" sqref="E49:E50">
      <x:formula1>"Bestand,Planung"</x:formula1>
    </x:dataValidation>
    <x:dataValidation type="list" sqref="I49:I50">
      <x:formula1>"FIXED,LINEAR,STEP,EVENT,MEASURED"</x:formula1>
    </x:dataValidation>
    <x:dataValidation type="list" sqref="Q49:Q50">
      <x:formula1>"true,false"</x:formula1>
    </x:dataValidation>
    <x:dataValidation type="list" sqref="E49:E51">
      <x:formula1>"Bestand,Planung"</x:formula1>
    </x:dataValidation>
    <x:dataValidation type="list" sqref="I49:I51">
      <x:formula1>"FIXED,LINEAR,STEP,EVENT,MEASURED"</x:formula1>
    </x:dataValidation>
    <x:dataValidation type="list" sqref="Q49:Q5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6" customHeight="1">
      <x:c r="A1" s="209" t="str">
        <x:v>Nutzungszeiten – nur für wiederkehrende Zeitfenster</x:v>
      </x:c>
      <x:c r="B1" s="209"/>
      <x:c r="C1" s="209"/>
      <x:c r="D1" s="209"/>
      <x:c r="E1" s="209"/>
      <x:c r="F1" s="209"/>
      <x:c r="G1" s="209"/>
    </x:row>
    <x:row r="3" ht="28" customHeight="1">
      <x:c r="A3" s="26" t="str">
        <x:v>verbraucher_id</x:v>
      </x:c>
      <x:c r="B3" s="26" t="str">
        <x:v>wochentyp</x:v>
      </x:c>
      <x:c r="C3" s="26" t="str">
        <x:v>start</x:v>
      </x:c>
      <x:c r="D3" s="26" t="str">
        <x:v>ende</x:v>
      </x:c>
      <x:c r="E3" s="26" t="str">
        <x:v>saison</x:v>
      </x:c>
      <x:c r="F3" s="26" t="str">
        <x:v>aktivitaetsfaktor</x:v>
      </x:c>
      <x:c r="G3" s="26" t="str">
        <x:v>hinweis</x:v>
      </x:c>
    </x:row>
    <x:row r="4">
      <x:c r="A4" s="196" t="str">
        <x:v>V_GAS_001</x:v>
      </x:c>
      <x:c r="B4" s="196" t="str">
        <x:v>Alle</x:v>
      </x:c>
      <x:c r="C4" s="196" t="str">
        <x:v>06:00</x:v>
      </x:c>
      <x:c r="D4" s="196" t="str">
        <x:v>10:00</x:v>
      </x:c>
      <x:c r="E4" s="196" t="str">
        <x:v>Alle</x:v>
      </x:c>
      <x:c r="F4" s="207" t="n">
        <x:v>1</x:v>
      </x:c>
      <x:c r="G4" s="196" t="str">
        <x:v>Frühstück</x:v>
      </x:c>
    </x:row>
    <x:row r="5">
      <x:c r="A5" s="196" t="str">
        <x:v>V_GAS_001</x:v>
      </x:c>
      <x:c r="B5" s="196" t="str">
        <x:v>Alle</x:v>
      </x:c>
      <x:c r="C5" s="196" t="str">
        <x:v>12:00</x:v>
      </x:c>
      <x:c r="D5" s="196" t="str">
        <x:v>21:00</x:v>
      </x:c>
      <x:c r="E5" s="196" t="str">
        <x:v>Alle</x:v>
      </x:c>
      <x:c r="F5" s="207" t="n">
        <x:v>1</x:v>
      </x:c>
      <x:c r="G5" s="196" t="str">
        <x:v>À-la-carte / Vorbereitung / Abendservice</x:v>
      </x:c>
    </x:row>
    <x:row r="6">
      <x:c r="A6" s="196" t="str">
        <x:v>V_GAS_001</x:v>
      </x:c>
      <x:c r="B6" s="196" t="str">
        <x:v>Alle</x:v>
      </x:c>
      <x:c r="C6" s="196" t="str">
        <x:v>21:00</x:v>
      </x:c>
      <x:c r="D6" s="196" t="str">
        <x:v>24:00</x:v>
      </x:c>
      <x:c r="E6" s="196" t="str">
        <x:v>Weihnachten</x:v>
      </x:c>
      <x:c r="F6" s="207" t="n">
        <x:v>1</x:v>
      </x:c>
      <x:c r="G6" s="196" t="str">
        <x:v>Weihnachtsbetrieb – Verlängerung</x:v>
      </x:c>
    </x:row>
    <x:row r="7">
      <x:c r="A7" s="196" t="str">
        <x:v>V_GAS_001</x:v>
      </x:c>
      <x:c r="B7" s="196" t="str">
        <x:v>Alle</x:v>
      </x:c>
      <x:c r="C7" s="196" t="str">
        <x:v>00:00</x:v>
      </x:c>
      <x:c r="D7" s="196" t="str">
        <x:v>01:00</x:v>
      </x:c>
      <x:c r="E7" s="196" t="str">
        <x:v>Weihnachten</x:v>
      </x:c>
      <x:c r="F7" s="207" t="n">
        <x:v>1</x:v>
      </x:c>
      <x:c r="G7" s="196" t="str">
        <x:v>Weihnachtsbetrieb – Verlängerung bis 01:00</x:v>
      </x:c>
    </x:row>
    <x:row r="8">
      <x:c r="A8" s="196" t="str">
        <x:v>V_GAS_002</x:v>
      </x:c>
      <x:c r="B8" s="196" t="str">
        <x:v>Alle</x:v>
      </x:c>
      <x:c r="C8" s="196" t="str">
        <x:v>06:00</x:v>
      </x:c>
      <x:c r="D8" s="196" t="str">
        <x:v>10:00</x:v>
      </x:c>
      <x:c r="E8" s="196" t="str">
        <x:v>Alle</x:v>
      </x:c>
      <x:c r="F8" s="207" t="n">
        <x:v>1</x:v>
      </x:c>
      <x:c r="G8" s="196" t="str">
        <x:v>Frühstück</x:v>
      </x:c>
    </x:row>
    <x:row r="9">
      <x:c r="A9" s="196" t="str">
        <x:v>V_GAS_002</x:v>
      </x:c>
      <x:c r="B9" s="196" t="str">
        <x:v>Alle</x:v>
      </x:c>
      <x:c r="C9" s="196" t="str">
        <x:v>12:00</x:v>
      </x:c>
      <x:c r="D9" s="196" t="str">
        <x:v>21:00</x:v>
      </x:c>
      <x:c r="E9" s="196" t="str">
        <x:v>Alle</x:v>
      </x:c>
      <x:c r="F9" s="207" t="n">
        <x:v>1</x:v>
      </x:c>
      <x:c r="G9" s="196" t="str">
        <x:v>À-la-carte / Vorbereitung / Abendservice</x:v>
      </x:c>
    </x:row>
    <x:row r="10">
      <x:c r="A10" s="196" t="str">
        <x:v>V_GAS_002</x:v>
      </x:c>
      <x:c r="B10" s="196" t="str">
        <x:v>Alle</x:v>
      </x:c>
      <x:c r="C10" s="196" t="str">
        <x:v>21:00</x:v>
      </x:c>
      <x:c r="D10" s="196" t="str">
        <x:v>24:00</x:v>
      </x:c>
      <x:c r="E10" s="196" t="str">
        <x:v>Weihnachten</x:v>
      </x:c>
      <x:c r="F10" s="207" t="n">
        <x:v>1</x:v>
      </x:c>
      <x:c r="G10" s="196" t="str">
        <x:v>Weihnachtsbetrieb – Verlängerung</x:v>
      </x:c>
    </x:row>
    <x:row r="11">
      <x:c r="A11" s="196" t="str">
        <x:v>V_GAS_002</x:v>
      </x:c>
      <x:c r="B11" s="196" t="str">
        <x:v>Alle</x:v>
      </x:c>
      <x:c r="C11" s="196" t="str">
        <x:v>00:00</x:v>
      </x:c>
      <x:c r="D11" s="196" t="str">
        <x:v>01:00</x:v>
      </x:c>
      <x:c r="E11" s="196" t="str">
        <x:v>Weihnachten</x:v>
      </x:c>
      <x:c r="F11" s="207" t="n">
        <x:v>1</x:v>
      </x:c>
      <x:c r="G11" s="196" t="str">
        <x:v>Weihnachtsbetrieb – Verlängerung bis 01:00</x:v>
      </x:c>
    </x:row>
    <x:row r="12">
      <x:c r="A12" s="196" t="str">
        <x:v>V_GAS_003</x:v>
      </x:c>
      <x:c r="B12" s="196" t="str">
        <x:v>Alle</x:v>
      </x:c>
      <x:c r="C12" s="196" t="str">
        <x:v>12:00</x:v>
      </x:c>
      <x:c r="D12" s="196" t="str">
        <x:v>21:00</x:v>
      </x:c>
      <x:c r="E12" s="196" t="str">
        <x:v>Alle</x:v>
      </x:c>
      <x:c r="F12" s="207" t="n">
        <x:v>1</x:v>
      </x:c>
      <x:c r="G12" s="196" t="str">
        <x:v>À-la-carte / Vorbereitung / Abendservice</x:v>
      </x:c>
    </x:row>
    <x:row r="13">
      <x:c r="A13" s="196" t="str">
        <x:v>V_GAS_003</x:v>
      </x:c>
      <x:c r="B13" s="196" t="str">
        <x:v>Alle</x:v>
      </x:c>
      <x:c r="C13" s="196" t="str">
        <x:v>21:00</x:v>
      </x:c>
      <x:c r="D13" s="196" t="str">
        <x:v>24:00</x:v>
      </x:c>
      <x:c r="E13" s="196" t="str">
        <x:v>Weihnachten</x:v>
      </x:c>
      <x:c r="F13" s="207" t="n">
        <x:v>1</x:v>
      </x:c>
      <x:c r="G13" s="196" t="str">
        <x:v>Weihnachtsbetrieb – Verlängerung</x:v>
      </x:c>
    </x:row>
    <x:row r="14">
      <x:c r="A14" s="196" t="str">
        <x:v>V_GAS_003</x:v>
      </x:c>
      <x:c r="B14" s="196" t="str">
        <x:v>Alle</x:v>
      </x:c>
      <x:c r="C14" s="196" t="str">
        <x:v>00:00</x:v>
      </x:c>
      <x:c r="D14" s="196" t="str">
        <x:v>01:00</x:v>
      </x:c>
      <x:c r="E14" s="196" t="str">
        <x:v>Weihnachten</x:v>
      </x:c>
      <x:c r="F14" s="207" t="n">
        <x:v>1</x:v>
      </x:c>
      <x:c r="G14" s="196" t="str">
        <x:v>Weihnachtsbetrieb – Verlängerung bis 01:00</x:v>
      </x:c>
    </x:row>
    <x:row r="15">
      <x:c r="A15" s="196" t="str">
        <x:v>V_GAS_005</x:v>
      </x:c>
      <x:c r="B15" s="196" t="str">
        <x:v>Alle</x:v>
      </x:c>
      <x:c r="C15" s="196" t="str">
        <x:v>12:00</x:v>
      </x:c>
      <x:c r="D15" s="196" t="str">
        <x:v>21:00</x:v>
      </x:c>
      <x:c r="E15" s="196" t="str">
        <x:v>Alle</x:v>
      </x:c>
      <x:c r="F15" s="207" t="n">
        <x:v>1</x:v>
      </x:c>
      <x:c r="G15" s="196" t="str">
        <x:v>À-la-carte / Vorbereitung / Abendservice</x:v>
      </x:c>
    </x:row>
    <x:row r="16">
      <x:c r="A16" s="196" t="str">
        <x:v>V_GAS_005</x:v>
      </x:c>
      <x:c r="B16" s="196" t="str">
        <x:v>Alle</x:v>
      </x:c>
      <x:c r="C16" s="196" t="str">
        <x:v>21:00</x:v>
      </x:c>
      <x:c r="D16" s="196" t="str">
        <x:v>24:00</x:v>
      </x:c>
      <x:c r="E16" s="196" t="str">
        <x:v>Weihnachten</x:v>
      </x:c>
      <x:c r="F16" s="207" t="n">
        <x:v>1</x:v>
      </x:c>
      <x:c r="G16" s="196" t="str">
        <x:v>Weihnachtsbetrieb – Verlängerung</x:v>
      </x:c>
    </x:row>
    <x:row r="17">
      <x:c r="A17" s="196" t="str">
        <x:v>V_GAS_005</x:v>
      </x:c>
      <x:c r="B17" s="196" t="str">
        <x:v>Alle</x:v>
      </x:c>
      <x:c r="C17" s="196" t="str">
        <x:v>00:00</x:v>
      </x:c>
      <x:c r="D17" s="196" t="str">
        <x:v>01:00</x:v>
      </x:c>
      <x:c r="E17" s="196" t="str">
        <x:v>Weihnachten</x:v>
      </x:c>
      <x:c r="F17" s="207" t="n">
        <x:v>1</x:v>
      </x:c>
      <x:c r="G17" s="196" t="str">
        <x:v>Weihnachtsbetrieb – Verlängerung bis 01:00</x:v>
      </x:c>
    </x:row>
    <x:row r="18">
      <x:c r="A18" s="196" t="str">
        <x:v>V_GAS_008</x:v>
      </x:c>
      <x:c r="B18" s="196" t="str">
        <x:v>Alle</x:v>
      </x:c>
      <x:c r="C18" s="196" t="str">
        <x:v>12:00</x:v>
      </x:c>
      <x:c r="D18" s="196" t="str">
        <x:v>21:00</x:v>
      </x:c>
      <x:c r="E18" s="196" t="str">
        <x:v>Alle</x:v>
      </x:c>
      <x:c r="F18" s="207" t="n">
        <x:v>1</x:v>
      </x:c>
      <x:c r="G18" s="196" t="str">
        <x:v>À-la-carte / Vorbereitung / Abendservice</x:v>
      </x:c>
    </x:row>
    <x:row r="19">
      <x:c r="A19" s="196" t="str">
        <x:v>V_GAS_008</x:v>
      </x:c>
      <x:c r="B19" s="196" t="str">
        <x:v>Alle</x:v>
      </x:c>
      <x:c r="C19" s="196" t="str">
        <x:v>21:00</x:v>
      </x:c>
      <x:c r="D19" s="196" t="str">
        <x:v>24:00</x:v>
      </x:c>
      <x:c r="E19" s="196" t="str">
        <x:v>Weihnachten</x:v>
      </x:c>
      <x:c r="F19" s="207" t="n">
        <x:v>1</x:v>
      </x:c>
      <x:c r="G19" s="196" t="str">
        <x:v>Weihnachtsbetrieb – Verlängerung</x:v>
      </x:c>
    </x:row>
    <x:row r="20">
      <x:c r="A20" s="196" t="str">
        <x:v>V_GAS_008</x:v>
      </x:c>
      <x:c r="B20" s="196" t="str">
        <x:v>Alle</x:v>
      </x:c>
      <x:c r="C20" s="196" t="str">
        <x:v>00:00</x:v>
      </x:c>
      <x:c r="D20" s="196" t="str">
        <x:v>01:00</x:v>
      </x:c>
      <x:c r="E20" s="196" t="str">
        <x:v>Weihnachten</x:v>
      </x:c>
      <x:c r="F20" s="207" t="n">
        <x:v>1</x:v>
      </x:c>
      <x:c r="G20" s="196" t="str">
        <x:v>Weihnachtsbetrieb – Verlängerung bis 01:00</x:v>
      </x:c>
    </x:row>
    <x:row r="21">
      <x:c r="A21" s="196" t="str">
        <x:v>V_GAS_009</x:v>
      </x:c>
      <x:c r="B21" s="196" t="str">
        <x:v>Alle</x:v>
      </x:c>
      <x:c r="C21" s="196" t="str">
        <x:v>12:00</x:v>
      </x:c>
      <x:c r="D21" s="196" t="str">
        <x:v>21:00</x:v>
      </x:c>
      <x:c r="E21" s="196" t="str">
        <x:v>Alle</x:v>
      </x:c>
      <x:c r="F21" s="207" t="n">
        <x:v>1</x:v>
      </x:c>
      <x:c r="G21" s="196" t="str">
        <x:v>À-la-carte / Vorbereitung / Abendservice</x:v>
      </x:c>
    </x:row>
    <x:row r="22">
      <x:c r="A22" s="196" t="str">
        <x:v>V_GAS_009</x:v>
      </x:c>
      <x:c r="B22" s="196" t="str">
        <x:v>Alle</x:v>
      </x:c>
      <x:c r="C22" s="196" t="str">
        <x:v>21:00</x:v>
      </x:c>
      <x:c r="D22" s="196" t="str">
        <x:v>24:00</x:v>
      </x:c>
      <x:c r="E22" s="196" t="str">
        <x:v>Weihnachten</x:v>
      </x:c>
      <x:c r="F22" s="207" t="n">
        <x:v>1</x:v>
      </x:c>
      <x:c r="G22" s="196" t="str">
        <x:v>Weihnachtsbetrieb – Verlängerung</x:v>
      </x:c>
    </x:row>
    <x:row r="23">
      <x:c r="A23" s="196" t="str">
        <x:v>V_GAS_009</x:v>
      </x:c>
      <x:c r="B23" s="196" t="str">
        <x:v>Alle</x:v>
      </x:c>
      <x:c r="C23" s="196" t="str">
        <x:v>00:00</x:v>
      </x:c>
      <x:c r="D23" s="196" t="str">
        <x:v>01:00</x:v>
      </x:c>
      <x:c r="E23" s="196" t="str">
        <x:v>Weihnachten</x:v>
      </x:c>
      <x:c r="F23" s="207" t="n">
        <x:v>1</x:v>
      </x:c>
      <x:c r="G23" s="196" t="str">
        <x:v>Weihnachtsbetrieb – Verlängerung bis 01:00</x:v>
      </x:c>
    </x:row>
    <x:row r="24">
      <x:c r="A24" s="196" t="str">
        <x:v>V_GAS_010</x:v>
      </x:c>
      <x:c r="B24" s="196" t="str">
        <x:v>Alle</x:v>
      </x:c>
      <x:c r="C24" s="196" t="str">
        <x:v>12:00</x:v>
      </x:c>
      <x:c r="D24" s="196" t="str">
        <x:v>21:00</x:v>
      </x:c>
      <x:c r="E24" s="196" t="str">
        <x:v>Alle</x:v>
      </x:c>
      <x:c r="F24" s="207" t="n">
        <x:v>1</x:v>
      </x:c>
      <x:c r="G24" s="196" t="str">
        <x:v>À-la-carte / Vorbereitung / Abendservice</x:v>
      </x:c>
    </x:row>
    <x:row r="25">
      <x:c r="A25" s="196" t="str">
        <x:v>V_GAS_010</x:v>
      </x:c>
      <x:c r="B25" s="196" t="str">
        <x:v>Alle</x:v>
      </x:c>
      <x:c r="C25" s="196" t="str">
        <x:v>21:00</x:v>
      </x:c>
      <x:c r="D25" s="196" t="str">
        <x:v>24:00</x:v>
      </x:c>
      <x:c r="E25" s="196" t="str">
        <x:v>Weihnachten</x:v>
      </x:c>
      <x:c r="F25" s="207" t="n">
        <x:v>1</x:v>
      </x:c>
      <x:c r="G25" s="196" t="str">
        <x:v>Weihnachtsbetrieb – Verlängerung</x:v>
      </x:c>
    </x:row>
    <x:row r="26">
      <x:c r="A26" s="196" t="str">
        <x:v>V_GAS_010</x:v>
      </x:c>
      <x:c r="B26" s="196" t="str">
        <x:v>Alle</x:v>
      </x:c>
      <x:c r="C26" s="196" t="str">
        <x:v>00:00</x:v>
      </x:c>
      <x:c r="D26" s="196" t="str">
        <x:v>01:00</x:v>
      </x:c>
      <x:c r="E26" s="196" t="str">
        <x:v>Weihnachten</x:v>
      </x:c>
      <x:c r="F26" s="207" t="n">
        <x:v>1</x:v>
      </x:c>
      <x:c r="G26" s="196" t="str">
        <x:v>Weihnachtsbetrieb – Verlängerung bis 01:00</x:v>
      </x:c>
    </x:row>
    <x:row r="27">
      <x:c r="A27" s="196" t="str">
        <x:v>V_GAS_011</x:v>
      </x:c>
      <x:c r="B27" s="196" t="str">
        <x:v>Alle</x:v>
      </x:c>
      <x:c r="C27" s="196" t="str">
        <x:v>12:00</x:v>
      </x:c>
      <x:c r="D27" s="196" t="str">
        <x:v>21:00</x:v>
      </x:c>
      <x:c r="E27" s="196" t="str">
        <x:v>Alle</x:v>
      </x:c>
      <x:c r="F27" s="207" t="n">
        <x:v>1</x:v>
      </x:c>
      <x:c r="G27" s="196" t="str">
        <x:v>À-la-carte / Vorbereitung / Abendservice</x:v>
      </x:c>
    </x:row>
    <x:row r="28">
      <x:c r="A28" s="196" t="str">
        <x:v>V_GAS_011</x:v>
      </x:c>
      <x:c r="B28" s="196" t="str">
        <x:v>Alle</x:v>
      </x:c>
      <x:c r="C28" s="196" t="str">
        <x:v>21:00</x:v>
      </x:c>
      <x:c r="D28" s="196" t="str">
        <x:v>24:00</x:v>
      </x:c>
      <x:c r="E28" s="196" t="str">
        <x:v>Weihnachten</x:v>
      </x:c>
      <x:c r="F28" s="207" t="n">
        <x:v>1</x:v>
      </x:c>
      <x:c r="G28" s="196" t="str">
        <x:v>Weihnachtsbetrieb – Verlängerung</x:v>
      </x:c>
    </x:row>
    <x:row r="29">
      <x:c r="A29" s="196" t="str">
        <x:v>V_GAS_011</x:v>
      </x:c>
      <x:c r="B29" s="196" t="str">
        <x:v>Alle</x:v>
      </x:c>
      <x:c r="C29" s="196" t="str">
        <x:v>00:00</x:v>
      </x:c>
      <x:c r="D29" s="196" t="str">
        <x:v>01:00</x:v>
      </x:c>
      <x:c r="E29" s="196" t="str">
        <x:v>Weihnachten</x:v>
      </x:c>
      <x:c r="F29" s="207" t="n">
        <x:v>1</x:v>
      </x:c>
      <x:c r="G29" s="196" t="str">
        <x:v>Weihnachtsbetrieb – Verlängerung bis 01:00</x:v>
      </x:c>
    </x:row>
    <x:row r="30">
      <x:c r="A30" s="196" t="str">
        <x:v>V_GAS_004</x:v>
      </x:c>
      <x:c r="B30" s="196" t="str">
        <x:v>Alle</x:v>
      </x:c>
      <x:c r="C30" s="196" t="str">
        <x:v>07:30</x:v>
      </x:c>
      <x:c r="D30" s="196" t="str">
        <x:v>10:30</x:v>
      </x:c>
      <x:c r="E30" s="196" t="str">
        <x:v>Alle</x:v>
      </x:c>
      <x:c r="F30" s="207" t="n">
        <x:v>1</x:v>
      </x:c>
      <x:c r="G30" s="196" t="str">
        <x:v>Spülen Frühstück</x:v>
      </x:c>
    </x:row>
    <x:row r="31">
      <x:c r="A31" s="196" t="str">
        <x:v>V_GAS_004</x:v>
      </x:c>
      <x:c r="B31" s="196" t="str">
        <x:v>Alle</x:v>
      </x:c>
      <x:c r="C31" s="196" t="str">
        <x:v>12:00</x:v>
      </x:c>
      <x:c r="D31" s="196" t="str">
        <x:v>21:00</x:v>
      </x:c>
      <x:c r="E31" s="196" t="str">
        <x:v>Alle</x:v>
      </x:c>
      <x:c r="F31" s="207" t="n">
        <x:v>1</x:v>
      </x:c>
      <x:c r="G31" s="196" t="str">
        <x:v>À-la-carte / Abendservice</x:v>
      </x:c>
    </x:row>
    <x:row r="32">
      <x:c r="A32" s="196" t="str">
        <x:v>V_GAS_004</x:v>
      </x:c>
      <x:c r="B32" s="196" t="str">
        <x:v>Alle</x:v>
      </x:c>
      <x:c r="C32" s="196" t="str">
        <x:v>21:00</x:v>
      </x:c>
      <x:c r="D32" s="196" t="str">
        <x:v>24:00</x:v>
      </x:c>
      <x:c r="E32" s="196" t="str">
        <x:v>Weihnachten</x:v>
      </x:c>
      <x:c r="F32" s="207" t="n">
        <x:v>1</x:v>
      </x:c>
      <x:c r="G32" s="196" t="str">
        <x:v>Weihnachtsbetrieb – Verlängerung</x:v>
      </x:c>
    </x:row>
    <x:row r="33">
      <x:c r="A33" s="196" t="str">
        <x:v>V_GAS_004</x:v>
      </x:c>
      <x:c r="B33" s="196" t="str">
        <x:v>Alle</x:v>
      </x:c>
      <x:c r="C33" s="196" t="str">
        <x:v>00:00</x:v>
      </x:c>
      <x:c r="D33" s="196" t="str">
        <x:v>01:00</x:v>
      </x:c>
      <x:c r="E33" s="196" t="str">
        <x:v>Weihnachten</x:v>
      </x:c>
      <x:c r="F33" s="207" t="n">
        <x:v>1</x:v>
      </x:c>
      <x:c r="G33" s="196" t="str">
        <x:v>Weihnachtsbetrieb – Verlängerung bis 01:00</x:v>
      </x:c>
    </x:row>
    <x:row r="34">
      <x:c r="A34" s="196" t="str">
        <x:v>V_WEL_001</x:v>
      </x:c>
      <x:c r="B34" s="196" t="str">
        <x:v>Alle</x:v>
      </x:c>
      <x:c r="C34" s="196" t="str">
        <x:v>14:00</x:v>
      </x:c>
      <x:c r="D34" s="196" t="str">
        <x:v>21:00</x:v>
      </x:c>
      <x:c r="E34" s="196" t="str">
        <x:v>Alle</x:v>
      </x:c>
      <x:c r="F34" s="207" t="n">
        <x:v>1</x:v>
      </x:c>
      <x:c r="G34" s="196" t="str">
        <x:v>Saunabereich geöffnet</x:v>
      </x:c>
    </x:row>
    <x:row r="35">
      <x:c r="A35" s="196" t="str">
        <x:v>V_WEL_002</x:v>
      </x:c>
      <x:c r="B35" s="196" t="str">
        <x:v>Alle</x:v>
      </x:c>
      <x:c r="C35" s="196" t="str">
        <x:v>14:00</x:v>
      </x:c>
      <x:c r="D35" s="196" t="str">
        <x:v>21:00</x:v>
      </x:c>
      <x:c r="E35" s="196" t="str">
        <x:v>Alle</x:v>
      </x:c>
      <x:c r="F35" s="207" t="n">
        <x:v>1</x:v>
      </x:c>
      <x:c r="G35" s="196" t="str">
        <x:v>Saunabereich geöffnet</x:v>
      </x:c>
    </x:row>
    <x:row r="36">
      <x:c r="A36" s="196" t="str">
        <x:v>V_WEL_003</x:v>
      </x:c>
      <x:c r="B36" s="196" t="str">
        <x:v>Alle</x:v>
      </x:c>
      <x:c r="C36" s="196" t="str">
        <x:v>14:00</x:v>
      </x:c>
      <x:c r="D36" s="196" t="str">
        <x:v>21:00</x:v>
      </x:c>
      <x:c r="E36" s="196" t="str">
        <x:v>Alle</x:v>
      </x:c>
      <x:c r="F36" s="207" t="n">
        <x:v>1</x:v>
      </x:c>
      <x:c r="G36" s="196" t="str">
        <x:v>Saunabereich geöffnet</x:v>
      </x:c>
    </x:row>
    <x:row r="37">
      <x:c r="A37" s="196" t="str">
        <x:v>V_WEL_004</x:v>
      </x:c>
      <x:c r="B37" s="196" t="str">
        <x:v>Alle</x:v>
      </x:c>
      <x:c r="C37" s="196" t="str">
        <x:v>10:00</x:v>
      </x:c>
      <x:c r="D37" s="196" t="str">
        <x:v>21:00</x:v>
      </x:c>
      <x:c r="E37" s="196" t="str">
        <x:v>Alle</x:v>
      </x:c>
      <x:c r="F37" s="207" t="n">
        <x:v>1</x:v>
      </x:c>
      <x:c r="G37" s="196" t="str">
        <x:v>Wellness/Schwimmbad geöffnet</x:v>
      </x:c>
    </x:row>
    <x:row r="38">
      <x:c r="A38" s="196" t="str">
        <x:v>V_WEL_005</x:v>
      </x:c>
      <x:c r="B38" s="196" t="str">
        <x:v>Alle</x:v>
      </x:c>
      <x:c r="C38" s="196" t="str">
        <x:v>10:00</x:v>
      </x:c>
      <x:c r="D38" s="196" t="str">
        <x:v>21:00</x:v>
      </x:c>
      <x:c r="E38" s="196" t="str">
        <x:v>Alle</x:v>
      </x:c>
      <x:c r="F38" s="207" t="n">
        <x:v>1</x:v>
      </x:c>
      <x:c r="G38" s="196" t="str">
        <x:v>Wellness/Schwimmbad geöffnet</x:v>
      </x:c>
    </x:row>
    <x:row r="39">
      <x:c r="A39" s="196" t="str">
        <x:v>V_WEL_006</x:v>
      </x:c>
      <x:c r="B39" s="196" t="str">
        <x:v>Alle</x:v>
      </x:c>
      <x:c r="C39" s="196" t="str">
        <x:v>10:00</x:v>
      </x:c>
      <x:c r="D39" s="196" t="str">
        <x:v>21:00</x:v>
      </x:c>
      <x:c r="E39" s="196" t="str">
        <x:v>Alle</x:v>
      </x:c>
      <x:c r="F39" s="207" t="n">
        <x:v>1</x:v>
      </x:c>
      <x:c r="G39" s="196" t="str">
        <x:v>Wellness/Schwimmbad geöffnet</x:v>
      </x:c>
    </x:row>
    <x:row r="40">
      <x:c r="A40" s="196" t="str">
        <x:v>V_WEL_008</x:v>
      </x:c>
      <x:c r="B40" s="196" t="str">
        <x:v>Alle</x:v>
      </x:c>
      <x:c r="C40" s="196" t="str">
        <x:v>10:00</x:v>
      </x:c>
      <x:c r="D40" s="196" t="str">
        <x:v>21:00</x:v>
      </x:c>
      <x:c r="E40" s="196" t="str">
        <x:v>Alle</x:v>
      </x:c>
      <x:c r="F40" s="207" t="n">
        <x:v>1</x:v>
      </x:c>
      <x:c r="G40" s="196" t="str">
        <x:v>Wellness/Schwimmbad geöffnet</x:v>
      </x:c>
    </x:row>
    <x:row r="41">
      <x:c r="A41" s="196" t="str">
        <x:v>V_TAG_001</x:v>
      </x:c>
      <x:c r="B41" s="196" t="str">
        <x:v>Unterwoche</x:v>
      </x:c>
      <x:c r="C41" s="196" t="str">
        <x:v>09:00</x:v>
      </x:c>
      <x:c r="D41" s="196" t="str">
        <x:v>17:00</x:v>
      </x:c>
      <x:c r="E41" s="196" t="str">
        <x:v>Alle</x:v>
      </x:c>
      <x:c r="F41" s="207" t="n">
        <x:v>1</x:v>
      </x:c>
      <x:c r="G41" s="196" t="str">
        <x:v>Typischer Tagungsbetrieb</x:v>
      </x:c>
    </x:row>
    <x:row r="42">
      <x:c r="A42" s="196" t="str">
        <x:v>V_TAG_002</x:v>
      </x:c>
      <x:c r="B42" s="196" t="str">
        <x:v>Unterwoche</x:v>
      </x:c>
      <x:c r="C42" s="196" t="str">
        <x:v>09:00</x:v>
      </x:c>
      <x:c r="D42" s="196" t="str">
        <x:v>17:00</x:v>
      </x:c>
      <x:c r="E42" s="196" t="str">
        <x:v>Alle</x:v>
      </x:c>
      <x:c r="F42" s="207" t="n">
        <x:v>1</x:v>
      </x:c>
      <x:c r="G42" s="196" t="str">
        <x:v>Typischer Tagungsbetrieb</x:v>
      </x:c>
    </x:row>
    <x:row r="43">
      <x:c r="A43" s="196" t="str">
        <x:v>V_TAG_003</x:v>
      </x:c>
      <x:c r="B43" s="196" t="str">
        <x:v>Unterwoche</x:v>
      </x:c>
      <x:c r="C43" s="196" t="str">
        <x:v>09:00</x:v>
      </x:c>
      <x:c r="D43" s="196" t="str">
        <x:v>17:00</x:v>
      </x:c>
      <x:c r="E43" s="196" t="str">
        <x:v>Alle</x:v>
      </x:c>
      <x:c r="F43" s="207" t="n">
        <x:v>1</x:v>
      </x:c>
      <x:c r="G43" s="196" t="str">
        <x:v>Typischer Tagungsbetrieb</x:v>
      </x:c>
    </x:row>
    <x:row r="44">
      <x:c r="A44" s="196" t="str">
        <x:v>V_TAG_004</x:v>
      </x:c>
      <x:c r="B44" s="196" t="str">
        <x:v>Unterwoche</x:v>
      </x:c>
      <x:c r="C44" s="196" t="str">
        <x:v>09:00</x:v>
      </x:c>
      <x:c r="D44" s="196" t="str">
        <x:v>17:00</x:v>
      </x:c>
      <x:c r="E44" s="196" t="str">
        <x:v>Alle</x:v>
      </x:c>
      <x:c r="F44" s="207" t="n">
        <x:v>1</x:v>
      </x:c>
      <x:c r="G44" s="196" t="str">
        <x:v>Typischer Tagungsbetrieb</x:v>
      </x:c>
    </x:row>
    <x:row r="45">
      <x:c r="A45" s="196" t="str">
        <x:v>V_HAW_001</x:v>
      </x:c>
      <x:c r="B45" s="196" t="str">
        <x:v>Unterwoche</x:v>
      </x:c>
      <x:c r="C45" s="196" t="str">
        <x:v>10:00</x:v>
      </x:c>
      <x:c r="D45" s="196" t="str">
        <x:v>17:00</x:v>
      </x:c>
      <x:c r="E45" s="196" t="str">
        <x:v>Alle</x:v>
      </x:c>
      <x:c r="F45" s="207" t="n">
        <x:v>1</x:v>
      </x:c>
      <x:c r="G45" s="196" t="str">
        <x:v>Nur werktags; Nebensaison deterministisch 3 Tage/Woche über waescherei_betrieb</x:v>
      </x:c>
    </x:row>
    <x:row r="46">
      <x:c r="A46" s="196" t="str">
        <x:v>V_HAW_002</x:v>
      </x:c>
      <x:c r="B46" s="196" t="str">
        <x:v>Unterwoche</x:v>
      </x:c>
      <x:c r="C46" s="196" t="str">
        <x:v>10:00</x:v>
      </x:c>
      <x:c r="D46" s="196" t="str">
        <x:v>17:00</x:v>
      </x:c>
      <x:c r="E46" s="196" t="str">
        <x:v>Alle</x:v>
      </x:c>
      <x:c r="F46" s="207" t="n">
        <x:v>1</x:v>
      </x:c>
      <x:c r="G46" s="196" t="str">
        <x:v>Nur werktags; Nebensaison deterministisch 3 Tage/Woche über waescherei_betrieb</x:v>
      </x:c>
    </x:row>
    <x:row r="47">
      <x:c r="A47" s="196" t="str">
        <x:v>V_HAW_003</x:v>
      </x:c>
      <x:c r="B47" s="196" t="str">
        <x:v>Unterwoche</x:v>
      </x:c>
      <x:c r="C47" s="196" t="str">
        <x:v>10:00</x:v>
      </x:c>
      <x:c r="D47" s="196" t="str">
        <x:v>17:00</x:v>
      </x:c>
      <x:c r="E47" s="196" t="str">
        <x:v>Alle</x:v>
      </x:c>
      <x:c r="F47" s="207" t="n">
        <x:v>1</x:v>
      </x:c>
      <x:c r="G47" s="196" t="str">
        <x:v>Nur werktags; Nebensaison deterministisch 3 Tage/Woche über waescherei_betrieb</x:v>
      </x:c>
    </x:row>
    <x:row r="48">
      <x:c r="A48" s="196" t="str">
        <x:v>V_HAW_004</x:v>
      </x:c>
      <x:c r="B48" s="196" t="str">
        <x:v>Unterwoche</x:v>
      </x:c>
      <x:c r="C48" s="196" t="str">
        <x:v>10:00</x:v>
      </x:c>
      <x:c r="D48" s="196" t="str">
        <x:v>17:00</x:v>
      </x:c>
      <x:c r="E48" s="196" t="str">
        <x:v>Alle</x:v>
      </x:c>
      <x:c r="F48" s="207" t="n">
        <x:v>1</x:v>
      </x:c>
      <x:c r="G48" s="196" t="str">
        <x:v>Nur werktags; Nebensaison deterministisch 3 Tage/Woche über waescherei_betrieb</x:v>
      </x:c>
    </x:row>
    <x:row r="49">
      <x:c r="A49" s="196" t="str">
        <x:v>V_HAW_005</x:v>
      </x:c>
      <x:c r="B49" s="196" t="str">
        <x:v>Unterwoche</x:v>
      </x:c>
      <x:c r="C49" s="196" t="str">
        <x:v>10:00</x:v>
      </x:c>
      <x:c r="D49" s="196" t="str">
        <x:v>17:00</x:v>
      </x:c>
      <x:c r="E49" s="196" t="str">
        <x:v>Alle</x:v>
      </x:c>
      <x:c r="F49" s="207" t="n">
        <x:v>1</x:v>
      </x:c>
      <x:c r="G49" s="196" t="str">
        <x:v>Nur werktags; Nebensaison deterministisch 3 Tage/Woche über waescherei_betrieb</x:v>
      </x:c>
    </x:row>
    <x:row r="50">
      <x:c r="A50" s="196" t="str">
        <x:v>V_HAW_006</x:v>
      </x:c>
      <x:c r="B50" s="196" t="str">
        <x:v>Unterwoche</x:v>
      </x:c>
      <x:c r="C50" s="196" t="str">
        <x:v>10:00</x:v>
      </x:c>
      <x:c r="D50" s="196" t="str">
        <x:v>17:00</x:v>
      </x:c>
      <x:c r="E50" s="196" t="str">
        <x:v>Alle</x:v>
      </x:c>
      <x:c r="F50" s="207" t="n">
        <x:v>1</x:v>
      </x:c>
      <x:c r="G50" s="196" t="str">
        <x:v>Nur werktags; Nebensaison deterministisch 3 Tage/Woche über waescherei_betrieb</x:v>
      </x:c>
    </x:row>
    <x:row r="51">
      <x:c r="A51" s="196" t="str">
        <x:v>V_HAW_007</x:v>
      </x:c>
      <x:c r="B51" s="196" t="str">
        <x:v>Unterwoche</x:v>
      </x:c>
      <x:c r="C51" s="196" t="str">
        <x:v>10:00</x:v>
      </x:c>
      <x:c r="D51" s="196" t="str">
        <x:v>17:00</x:v>
      </x:c>
      <x:c r="E51" s="196" t="str">
        <x:v>Alle</x:v>
      </x:c>
      <x:c r="F51" s="207" t="n">
        <x:v>1</x:v>
      </x:c>
      <x:c r="G51" s="196" t="str">
        <x:v>Nur werktags; Nebensaison deterministisch 3 Tage/Woche über waescherei_betrieb</x:v>
      </x:c>
    </x:row>
    <x:row r="52">
      <x:c r="A52" s="196" t="str">
        <x:v>V_HAW_008</x:v>
      </x:c>
      <x:c r="B52" s="196" t="str">
        <x:v>Unterwoche</x:v>
      </x:c>
      <x:c r="C52" s="196" t="str">
        <x:v>10:00</x:v>
      </x:c>
      <x:c r="D52" s="196" t="str">
        <x:v>17:00</x:v>
      </x:c>
      <x:c r="E52" s="196" t="str">
        <x:v>Alle</x:v>
      </x:c>
      <x:c r="F52" s="207" t="n">
        <x:v>1</x:v>
      </x:c>
      <x:c r="G52" s="196" t="str">
        <x:v>Nur werktags; Nebensaison deterministisch 3 Tage/Woche über waescherei_betrieb</x:v>
      </x:c>
    </x:row>
    <x:row r="53">
      <x:c r="A53" s="196" t="str">
        <x:v>V_HAW_009</x:v>
      </x:c>
      <x:c r="B53" s="196" t="str">
        <x:v>Unterwoche</x:v>
      </x:c>
      <x:c r="C53" s="196" t="str">
        <x:v>10:00</x:v>
      </x:c>
      <x:c r="D53" s="196" t="str">
        <x:v>17:00</x:v>
      </x:c>
      <x:c r="E53" s="196" t="str">
        <x:v>Alle</x:v>
      </x:c>
      <x:c r="F53" s="207" t="n">
        <x:v>1</x:v>
      </x:c>
      <x:c r="G53" s="196" t="str">
        <x:v>Nur werktags; Nebensaison deterministisch 3 Tage/Woche über waescherei_betrieb</x:v>
      </x:c>
    </x:row>
    <x:row r="54">
      <x:c r="A54" s="196" t="str">
        <x:v>V_ALL_002</x:v>
      </x:c>
      <x:c r="B54" s="196" t="str">
        <x:v>Alle</x:v>
      </x:c>
      <x:c r="C54" s="196" t="str">
        <x:v>06:00</x:v>
      </x:c>
      <x:c r="D54" s="196" t="str">
        <x:v>23:00</x:v>
      </x:c>
      <x:c r="E54" s="196" t="str">
        <x:v>Alle</x:v>
      </x:c>
      <x:c r="F54" s="207" t="n">
        <x:v>1</x:v>
      </x:c>
      <x:c r="G54" s="196" t="str">
        <x:v>Übrige Allgemeinbeleuchtung</x:v>
      </x:c>
    </x:row>
    <x:row r="55">
      <x:c r="A55" s="196" t="str">
        <x:v>V_AUS_001</x:v>
      </x:c>
      <x:c r="B55" s="196" t="str">
        <x:v>Alle</x:v>
      </x:c>
      <x:c r="C55" s="196" t="str">
        <x:v>00:00</x:v>
      </x:c>
      <x:c r="D55" s="196" t="str">
        <x:v>23:00</x:v>
      </x:c>
      <x:c r="E55" s="196" t="str">
        <x:v>Alle</x:v>
      </x:c>
      <x:c r="F55" s="207" t="n">
        <x:v>1</x:v>
      </x:c>
      <x:c r="G55" s="196" t="str">
        <x:v>Nur bei Dunkelheit; harte Abschaltung um 23:00</x:v>
      </x:c>
    </x:row>
    <x:row r="56">
      <x:c r="A56" s="98"/>
      <x:c r="B56" s="98"/>
      <x:c r="C56" s="98"/>
      <x:c r="D56" s="98"/>
      <x:c r="E56" s="98"/>
      <x:c r="F56" s="100"/>
      <x:c r="G56" s="98"/>
    </x:row>
    <x:row r="57">
      <x:c r="A57" s="98"/>
      <x:c r="B57" s="98"/>
      <x:c r="C57" s="98"/>
      <x:c r="D57" s="98"/>
      <x:c r="E57" s="98"/>
      <x:c r="F57" s="100"/>
      <x:c r="G57" s="98"/>
    </x:row>
    <x:row r="58">
      <x:c r="A58" s="98"/>
      <x:c r="B58" s="98"/>
      <x:c r="C58" s="98"/>
      <x:c r="D58" s="98"/>
      <x:c r="E58" s="98"/>
      <x:c r="F58" s="100"/>
      <x:c r="G58" s="98"/>
    </x:row>
    <x:row r="59">
      <x:c r="A59" s="98"/>
      <x:c r="B59" s="98"/>
      <x:c r="C59" s="98"/>
      <x:c r="D59" s="98"/>
      <x:c r="E59" s="98"/>
      <x:c r="F59" s="100"/>
      <x:c r="G59" s="98"/>
    </x:row>
    <x:row r="60">
      <x:c r="A60" s="98"/>
      <x:c r="B60" s="98"/>
      <x:c r="C60" s="98"/>
      <x:c r="D60" s="98"/>
      <x:c r="E60" s="98"/>
      <x:c r="F60" s="100"/>
      <x:c r="G60" s="98"/>
    </x:row>
    <x:row r="61">
      <x:c r="A61" s="98"/>
      <x:c r="B61" s="98"/>
      <x:c r="C61" s="98"/>
      <x:c r="D61" s="98"/>
      <x:c r="E61" s="98"/>
      <x:c r="F61" s="100"/>
      <x:c r="G61" s="98"/>
    </x:row>
    <x:row r="62">
      <x:c r="A62" s="98"/>
      <x:c r="B62" s="98"/>
      <x:c r="C62" s="98"/>
      <x:c r="D62" s="98"/>
      <x:c r="E62" s="98"/>
      <x:c r="F62" s="100"/>
      <x:c r="G62" s="98"/>
    </x:row>
    <x:row r="63">
      <x:c r="A63" s="98"/>
      <x:c r="B63" s="98"/>
      <x:c r="C63" s="98"/>
      <x:c r="D63" s="98"/>
      <x:c r="E63" s="98"/>
      <x:c r="F63" s="100"/>
      <x:c r="G63" s="98"/>
    </x:row>
    <x:row r="64">
      <x:c r="A64" s="98"/>
      <x:c r="B64" s="98"/>
      <x:c r="C64" s="98"/>
      <x:c r="D64" s="98"/>
      <x:c r="E64" s="98"/>
      <x:c r="F64" s="100"/>
      <x:c r="G64" s="98"/>
    </x:row>
    <x:row r="65">
      <x:c r="A65" s="98"/>
      <x:c r="B65" s="98"/>
      <x:c r="C65" s="98"/>
      <x:c r="D65" s="98"/>
      <x:c r="E65" s="98"/>
      <x:c r="F65" s="100"/>
      <x:c r="G65" s="98"/>
    </x:row>
    <x:row r="66">
      <x:c r="A66" s="98"/>
      <x:c r="B66" s="98"/>
      <x:c r="C66" s="98"/>
      <x:c r="D66" s="98"/>
      <x:c r="E66" s="98"/>
      <x:c r="F66" s="100"/>
      <x:c r="G66" s="98"/>
    </x:row>
    <x:row r="67">
      <x:c r="A67" s="98"/>
      <x:c r="B67" s="98"/>
      <x:c r="C67" s="98"/>
      <x:c r="D67" s="98"/>
      <x:c r="E67" s="98"/>
      <x:c r="F67" s="100"/>
      <x:c r="G67" s="98"/>
    </x:row>
    <x:row r="68">
      <x:c r="A68" s="98"/>
      <x:c r="B68" s="98"/>
      <x:c r="C68" s="98"/>
      <x:c r="D68" s="98"/>
      <x:c r="E68" s="98"/>
      <x:c r="F68" s="100"/>
      <x:c r="G68" s="98"/>
    </x:row>
    <x:row r="69">
      <x:c r="A69" s="98"/>
      <x:c r="B69" s="98"/>
      <x:c r="C69" s="98"/>
      <x:c r="D69" s="98"/>
      <x:c r="E69" s="98"/>
      <x:c r="F69" s="100"/>
      <x:c r="G69" s="98"/>
    </x:row>
    <x:row r="70">
      <x:c r="A70" s="98"/>
      <x:c r="B70" s="98"/>
      <x:c r="C70" s="98"/>
      <x:c r="D70" s="98"/>
      <x:c r="E70" s="98"/>
      <x:c r="F70" s="100"/>
      <x:c r="G70" s="98"/>
    </x:row>
    <x:row r="71">
      <x:c r="A71" s="98"/>
      <x:c r="B71" s="98"/>
      <x:c r="C71" s="98"/>
      <x:c r="D71" s="98"/>
      <x:c r="E71" s="98"/>
      <x:c r="F71" s="100"/>
      <x:c r="G71" s="98"/>
    </x:row>
    <x:row r="72">
      <x:c r="A72" s="98"/>
      <x:c r="B72" s="98"/>
      <x:c r="C72" s="98"/>
      <x:c r="D72" s="98"/>
      <x:c r="E72" s="98"/>
      <x:c r="F72" s="100"/>
      <x:c r="G72" s="98"/>
    </x:row>
    <x:row r="73">
      <x:c r="A73" s="98"/>
      <x:c r="B73" s="98"/>
      <x:c r="C73" s="98"/>
      <x:c r="D73" s="98"/>
      <x:c r="E73" s="98"/>
      <x:c r="F73" s="100"/>
      <x:c r="G73" s="98"/>
    </x:row>
    <x:row r="74">
      <x:c r="A74" s="98"/>
      <x:c r="B74" s="98"/>
      <x:c r="C74" s="98"/>
      <x:c r="D74" s="98"/>
      <x:c r="E74" s="98"/>
      <x:c r="F74" s="100"/>
      <x:c r="G74" s="98"/>
    </x:row>
    <x:row r="75">
      <x:c r="A75" s="98"/>
      <x:c r="B75" s="98"/>
      <x:c r="C75" s="98"/>
      <x:c r="D75" s="98"/>
      <x:c r="E75" s="98"/>
      <x:c r="F75" s="100"/>
      <x:c r="G75" s="98"/>
    </x:row>
    <x:row r="76">
      <x:c r="A76" s="98"/>
      <x:c r="B76" s="98"/>
      <x:c r="C76" s="98"/>
      <x:c r="D76" s="98"/>
      <x:c r="E76" s="98"/>
      <x:c r="F76" s="100"/>
      <x:c r="G76" s="98"/>
    </x:row>
    <x:row r="77">
      <x:c r="A77" s="98"/>
      <x:c r="B77" s="98"/>
      <x:c r="C77" s="98"/>
      <x:c r="D77" s="98"/>
      <x:c r="E77" s="98"/>
      <x:c r="F77" s="100"/>
      <x:c r="G77" s="98"/>
    </x:row>
    <x:row r="78">
      <x:c r="A78" s="98"/>
      <x:c r="B78" s="98"/>
      <x:c r="C78" s="98"/>
      <x:c r="D78" s="98"/>
      <x:c r="E78" s="98"/>
      <x:c r="F78" s="100"/>
      <x:c r="G78" s="98"/>
    </x:row>
    <x:row r="79">
      <x:c r="A79" s="98"/>
      <x:c r="B79" s="98"/>
      <x:c r="C79" s="98"/>
      <x:c r="D79" s="98"/>
      <x:c r="E79" s="98"/>
      <x:c r="F79" s="100"/>
      <x:c r="G79" s="98"/>
    </x:row>
    <x:row r="80">
      <x:c r="A80" s="98"/>
      <x:c r="B80" s="98"/>
      <x:c r="C80" s="98"/>
      <x:c r="D80" s="98"/>
      <x:c r="E80" s="98"/>
      <x:c r="F80" s="100"/>
      <x:c r="G80" s="98"/>
    </x:row>
    <x:row r="81">
      <x:c r="A81" s="98"/>
      <x:c r="B81" s="98"/>
      <x:c r="C81" s="98"/>
      <x:c r="D81" s="98"/>
      <x:c r="E81" s="98"/>
      <x:c r="F81" s="100"/>
      <x:c r="G81" s="98"/>
    </x:row>
    <x:row r="82">
      <x:c r="A82" s="98"/>
      <x:c r="B82" s="98"/>
      <x:c r="C82" s="98"/>
      <x:c r="D82" s="98"/>
      <x:c r="E82" s="98"/>
      <x:c r="F82" s="100"/>
      <x:c r="G82" s="98"/>
    </x:row>
    <x:row r="83">
      <x:c r="A83" s="98"/>
      <x:c r="B83" s="98"/>
      <x:c r="C83" s="98"/>
      <x:c r="D83" s="98"/>
      <x:c r="E83" s="98"/>
      <x:c r="F83" s="100"/>
      <x:c r="G83" s="98"/>
    </x:row>
    <x:row r="84">
      <x:c r="A84" s="98"/>
      <x:c r="B84" s="98"/>
      <x:c r="C84" s="98"/>
      <x:c r="D84" s="98"/>
      <x:c r="E84" s="98"/>
      <x:c r="F84" s="100"/>
      <x:c r="G84" s="98"/>
    </x:row>
    <x:row r="85">
      <x:c r="A85" s="98"/>
      <x:c r="B85" s="98"/>
      <x:c r="C85" s="98"/>
      <x:c r="D85" s="98"/>
      <x:c r="E85" s="98"/>
      <x:c r="F85" s="100"/>
      <x:c r="G85" s="98"/>
    </x:row>
    <x:row r="86">
      <x:c r="A86" s="98"/>
      <x:c r="B86" s="98"/>
      <x:c r="C86" s="98"/>
      <x:c r="D86" s="98"/>
      <x:c r="E86" s="98"/>
      <x:c r="F86" s="100"/>
      <x:c r="G86" s="98"/>
    </x:row>
    <x:row r="87">
      <x:c r="A87" s="98"/>
      <x:c r="B87" s="98"/>
      <x:c r="C87" s="98"/>
      <x:c r="D87" s="98"/>
      <x:c r="E87" s="98"/>
      <x:c r="F87" s="100"/>
      <x:c r="G87" s="98"/>
    </x:row>
    <x:row r="88">
      <x:c r="A88" s="98"/>
      <x:c r="B88" s="98"/>
      <x:c r="C88" s="98"/>
      <x:c r="D88" s="98"/>
      <x:c r="E88" s="98"/>
      <x:c r="F88" s="100"/>
      <x:c r="G88" s="98"/>
    </x:row>
    <x:row r="89">
      <x:c r="A89" s="98"/>
      <x:c r="B89" s="98"/>
      <x:c r="C89" s="98"/>
      <x:c r="D89" s="98"/>
      <x:c r="E89" s="98"/>
      <x:c r="F89" s="100"/>
      <x:c r="G89" s="98"/>
    </x:row>
    <x:row r="90">
      <x:c r="A90" s="98"/>
      <x:c r="B90" s="98"/>
      <x:c r="C90" s="98"/>
      <x:c r="D90" s="98"/>
      <x:c r="E90" s="98"/>
      <x:c r="F90" s="100"/>
      <x:c r="G90" s="98"/>
    </x:row>
    <x:row r="91">
      <x:c r="A91" s="98"/>
      <x:c r="B91" s="98"/>
      <x:c r="C91" s="98"/>
      <x:c r="D91" s="98"/>
      <x:c r="E91" s="98"/>
      <x:c r="F91" s="100"/>
      <x:c r="G91" s="98"/>
    </x:row>
    <x:row r="92">
      <x:c r="A92" s="98"/>
      <x:c r="B92" s="98"/>
      <x:c r="C92" s="98"/>
      <x:c r="D92" s="98"/>
      <x:c r="E92" s="98"/>
      <x:c r="F92" s="100"/>
      <x:c r="G92" s="98"/>
    </x:row>
    <x:row r="93">
      <x:c r="A93" s="98"/>
      <x:c r="B93" s="98"/>
      <x:c r="C93" s="98"/>
      <x:c r="D93" s="98"/>
      <x:c r="E93" s="98"/>
      <x:c r="F93" s="100"/>
      <x:c r="G93" s="98"/>
    </x:row>
    <x:row r="94">
      <x:c r="A94" s="98"/>
      <x:c r="B94" s="98"/>
      <x:c r="C94" s="98"/>
      <x:c r="D94" s="98"/>
      <x:c r="E94" s="98"/>
      <x:c r="F94" s="100"/>
      <x:c r="G94" s="98"/>
    </x:row>
    <x:row r="95">
      <x:c r="A95" s="98"/>
      <x:c r="B95" s="98"/>
      <x:c r="C95" s="98"/>
      <x:c r="D95" s="98"/>
      <x:c r="E95" s="98"/>
      <x:c r="F95" s="100"/>
      <x:c r="G95" s="98"/>
    </x:row>
    <x:row r="96">
      <x:c r="A96" s="98"/>
      <x:c r="B96" s="98"/>
      <x:c r="C96" s="98"/>
      <x:c r="D96" s="98"/>
      <x:c r="E96" s="98"/>
      <x:c r="F96" s="100"/>
      <x:c r="G96" s="98"/>
    </x:row>
    <x:row r="97">
      <x:c r="A97" s="98"/>
      <x:c r="B97" s="98"/>
      <x:c r="C97" s="98"/>
      <x:c r="D97" s="98"/>
      <x:c r="E97" s="98"/>
      <x:c r="F97" s="100"/>
      <x:c r="G97" s="98"/>
    </x:row>
    <x:row r="98">
      <x:c r="A98" s="98"/>
      <x:c r="B98" s="98"/>
      <x:c r="C98" s="98"/>
      <x:c r="D98" s="98"/>
      <x:c r="E98" s="98"/>
      <x:c r="F98" s="100"/>
      <x:c r="G98" s="98"/>
    </x:row>
    <x:row r="99">
      <x:c r="A99" s="98"/>
      <x:c r="B99" s="98"/>
      <x:c r="C99" s="98"/>
      <x:c r="D99" s="98"/>
      <x:c r="E99" s="98"/>
      <x:c r="F99" s="100"/>
      <x:c r="G99" s="98"/>
    </x:row>
    <x:row r="100">
      <x:c r="A100" s="98"/>
      <x:c r="B100" s="98"/>
      <x:c r="C100" s="98"/>
      <x:c r="D100" s="98"/>
      <x:c r="E100" s="98"/>
      <x:c r="F100" s="100"/>
      <x:c r="G100" s="98"/>
    </x:row>
    <x:row r="101">
      <x:c r="F101" s="72"/>
    </x:row>
    <x:row r="102">
      <x:c r="F102" s="72"/>
    </x:row>
    <x:row r="103">
      <x:c r="F103" s="72"/>
    </x:row>
    <x:row r="104">
      <x:c r="F104" s="72"/>
    </x:row>
    <x:row r="105">
      <x:c r="F105" s="72"/>
    </x:row>
    <x:row r="106">
      <x:c r="F106" s="72"/>
    </x:row>
    <x:row r="107">
      <x:c r="F107" s="72"/>
    </x:row>
    <x:row r="108">
      <x:c r="F108" s="72"/>
    </x:row>
    <x:row r="109">
      <x:c r="F109" s="72"/>
    </x:row>
    <x:row r="110">
      <x:c r="F110" s="72"/>
    </x:row>
    <x:row r="111">
      <x:c r="F111" s="72"/>
    </x:row>
    <x:row r="112">
      <x:c r="F112" s="72"/>
    </x:row>
    <x:row r="113">
      <x:c r="F113" s="72"/>
    </x:row>
    <x:row r="114">
      <x:c r="F114" s="72"/>
    </x:row>
    <x:row r="115">
      <x:c r="F115" s="72"/>
    </x:row>
    <x:row r="116">
      <x:c r="F116" s="72"/>
    </x:row>
    <x:row r="117">
      <x:c r="F117" s="72"/>
    </x:row>
    <x:row r="118">
      <x:c r="F118" s="72"/>
    </x:row>
    <x:row r="119">
      <x:c r="F119" s="72"/>
    </x:row>
    <x:row r="120">
      <x:c r="F120" s="72"/>
    </x:row>
    <x:row r="121">
      <x:c r="F121" s="72"/>
    </x:row>
    <x:row r="122">
      <x:c r="F122" s="72"/>
    </x:row>
    <x:row r="123">
      <x:c r="F123" s="72"/>
    </x:row>
    <x:row r="124">
      <x:c r="F124" s="72"/>
    </x:row>
    <x:row r="125">
      <x:c r="F125" s="72"/>
    </x:row>
    <x:row r="126">
      <x:c r="F126" s="72"/>
    </x:row>
    <x:row r="127">
      <x:c r="F127" s="72"/>
    </x:row>
    <x:row r="128">
      <x:c r="F128" s="72"/>
    </x:row>
    <x:row r="129">
      <x:c r="F129" s="72"/>
    </x:row>
    <x:row r="130">
      <x:c r="F130" s="72"/>
    </x:row>
    <x:row r="131">
      <x:c r="F131" s="72"/>
    </x:row>
    <x:row r="132">
      <x:c r="F132" s="72"/>
    </x:row>
    <x:row r="133">
      <x:c r="F133" s="72"/>
    </x:row>
    <x:row r="134">
      <x:c r="F134" s="72"/>
    </x:row>
    <x:row r="135">
      <x:c r="F135" s="72"/>
    </x:row>
    <x:row r="136">
      <x:c r="F136" s="72"/>
    </x:row>
    <x:row r="137">
      <x:c r="F137" s="72"/>
    </x:row>
    <x:row r="138">
      <x:c r="F138" s="72"/>
    </x:row>
    <x:row r="139">
      <x:c r="F139" s="72"/>
    </x:row>
    <x:row r="140">
      <x:c r="F140" s="72"/>
    </x:row>
    <x:row r="141">
      <x:c r="F141" s="72"/>
    </x:row>
    <x:row r="142">
      <x:c r="F142" s="72"/>
    </x:row>
    <x:row r="143">
      <x:c r="F143" s="72"/>
    </x:row>
    <x:row r="144">
      <x:c r="F144" s="72"/>
    </x:row>
    <x:row r="145">
      <x:c r="F145" s="72"/>
    </x:row>
    <x:row r="146">
      <x:c r="F146" s="72"/>
    </x:row>
    <x:row r="147">
      <x:c r="F147" s="72"/>
    </x:row>
    <x:row r="148">
      <x:c r="F148" s="72"/>
    </x:row>
    <x:row r="149">
      <x:c r="F149" s="72"/>
    </x:row>
    <x:row r="150">
      <x:c r="F150" s="72"/>
    </x:row>
    <x:row r="151">
      <x:c r="F151" s="72"/>
    </x:row>
    <x:row r="152">
      <x:c r="F152" s="72"/>
    </x:row>
    <x:row r="153">
      <x:c r="F153" s="72"/>
    </x:row>
    <x:row r="154">
      <x:c r="F154" s="72"/>
    </x:row>
    <x:row r="155">
      <x:c r="F155" s="72"/>
    </x:row>
    <x:row r="156">
      <x:c r="F156" s="72"/>
    </x:row>
    <x:row r="157">
      <x:c r="F157" s="72"/>
    </x:row>
    <x:row r="158">
      <x:c r="F158" s="72"/>
    </x:row>
    <x:row r="159">
      <x:c r="F159" s="72"/>
    </x:row>
    <x:row r="160">
      <x:c r="F160" s="72"/>
    </x:row>
    <x:row r="161">
      <x:c r="F161" s="72"/>
    </x:row>
    <x:row r="162">
      <x:c r="F162" s="72"/>
    </x:row>
    <x:row r="163">
      <x:c r="F163" s="72"/>
    </x:row>
    <x:row r="164">
      <x:c r="F164" s="72"/>
    </x:row>
    <x:row r="165">
      <x:c r="F165" s="72"/>
    </x:row>
    <x:row r="166">
      <x:c r="F166" s="72"/>
    </x:row>
    <x:row r="167">
      <x:c r="F167" s="72"/>
    </x:row>
    <x:row r="168">
      <x:c r="F168" s="72"/>
    </x:row>
    <x:row r="169">
      <x:c r="F169" s="72"/>
    </x:row>
    <x:row r="170">
      <x:c r="F170" s="72"/>
    </x:row>
    <x:row r="171">
      <x:c r="F171" s="72"/>
    </x:row>
    <x:row r="172">
      <x:c r="F172" s="72"/>
    </x:row>
    <x:row r="173">
      <x:c r="F173" s="72"/>
    </x:row>
    <x:row r="174">
      <x:c r="F174" s="72"/>
    </x:row>
    <x:row r="175">
      <x:c r="F175" s="72"/>
    </x:row>
    <x:row r="176">
      <x:c r="F176" s="72"/>
    </x:row>
    <x:row r="177">
      <x:c r="F177" s="72"/>
    </x:row>
    <x:row r="178">
      <x:c r="F178" s="72"/>
    </x:row>
    <x:row r="179">
      <x:c r="F179" s="72"/>
    </x:row>
    <x:row r="180">
      <x:c r="F180" s="72"/>
    </x:row>
    <x:row r="181">
      <x:c r="F181" s="72"/>
    </x:row>
    <x:row r="182">
      <x:c r="F182" s="72"/>
    </x:row>
    <x:row r="183">
      <x:c r="F183" s="72"/>
    </x:row>
    <x:row r="184">
      <x:c r="F184" s="72"/>
    </x:row>
    <x:row r="185">
      <x:c r="F185" s="72"/>
    </x:row>
    <x:row r="186">
      <x:c r="F186" s="72"/>
    </x:row>
    <x:row r="187">
      <x:c r="F187" s="72"/>
    </x:row>
    <x:row r="188">
      <x:c r="F188" s="72"/>
    </x:row>
    <x:row r="189">
      <x:c r="F189" s="72"/>
    </x:row>
    <x:row r="190">
      <x:c r="F190" s="72"/>
    </x:row>
    <x:row r="191">
      <x:c r="F191" s="72"/>
    </x:row>
    <x:row r="192">
      <x:c r="F192" s="72"/>
    </x:row>
    <x:row r="193">
      <x:c r="F193" s="72"/>
    </x:row>
    <x:row r="194">
      <x:c r="F194" s="72"/>
    </x:row>
    <x:row r="195">
      <x:c r="F195" s="72"/>
    </x:row>
    <x:row r="196">
      <x:c r="F196" s="72"/>
    </x:row>
    <x:row r="197">
      <x:c r="F197" s="72"/>
    </x:row>
    <x:row r="198">
      <x:c r="F198" s="72"/>
    </x:row>
    <x:row r="199">
      <x:c r="F199" s="72"/>
    </x:row>
    <x:row r="200">
      <x:c r="F200" s="72"/>
    </x:row>
  </x:sheetData>
  <x:mergeCells>
    <x:mergeCell ref="A1:G1"/>
  </x:mergeCells>
  <x:dataValidations count="2">
    <x:dataValidation type="list" sqref="B4:B200">
      <x:formula1>"Alle,Unterwoche,Wochenende"</x:formula1>
    </x:dataValidation>
    <x:dataValidation type="list" sqref="E4:E200">
      <x:formula1>"Alle,Nebensaison,Hauptsaison,Weihnachten,Betriebsferien"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7" hidden="0" customWidth="1"/>
    <x:col min="5" max="5" width="15" hidden="0" customWidth="1"/>
    <x:col min="6" max="6" width="14" hidden="0" customWidth="1"/>
    <x:col min="7" max="7" width="18" hidden="0" customWidth="1"/>
    <x:col min="8" max="8" width="15" hidden="0" customWidth="1"/>
    <x:col min="9" max="9" width="14" hidden="0" customWidth="1"/>
    <x:col min="10" max="10" width="18" hidden="0" customWidth="1"/>
    <x:col min="11" max="11" width="22" hidden="0" customWidth="1"/>
    <x:col min="12" max="12" width="22" hidden="0" customWidth="1"/>
    <x:col min="13" max="13" width="19" hidden="0" customWidth="1"/>
    <x:col min="14" max="14" width="24" hidden="0" customWidth="1"/>
    <x:col min="15" max="15" width="25" hidden="0" customWidth="1"/>
    <x:col min="16" max="16" width="30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26" customHeight="1">
      <x:c r="A1" s="4" t="str">
        <x:v>Auslastung – automatisch aus Saison, Wochentyp und Betriebsannahmen abgeleitet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28" customHeight="1">
      <x:c r="A3" s="108" t="str">
        <x:v>datum</x:v>
      </x:c>
      <x:c r="B3" s="108" t="str">
        <x:v>saison</x:v>
      </x:c>
      <x:c r="C3" s="108" t="str">
        <x:v>wochentyp</x:v>
      </x:c>
      <x:c r="D3" s="108" t="str">
        <x:v>hotel_auslastung</x:v>
      </x:c>
      <x:c r="E3" s="108" t="str">
        <x:v>zimmer_belegt</x:v>
      </x:c>
      <x:c r="F3" s="108" t="str">
        <x:v>hotelgaeste</x:v>
      </x:c>
      <x:c r="G3" s="108" t="str">
        <x:v>chalet_auslastung</x:v>
      </x:c>
      <x:c r="H3" s="108" t="str">
        <x:v>chalets_belegt</x:v>
      </x:c>
      <x:c r="I3" s="108" t="str">
        <x:v>chaletgaeste</x:v>
      </x:c>
      <x:c r="J3" s="108" t="str">
        <x:v>hausgaeste_gesamt</x:v>
      </x:c>
      <x:c r="K3" s="108" t="str">
        <x:v>fruehstueck_gaeste_gesamt</x:v>
      </x:c>
      <x:c r="L3" s="108" t="str">
        <x:v>abendessen_gaeste_gesamt</x:v>
      </x:c>
      <x:c r="M3" s="108" t="str">
        <x:v>sauna_gaeste_gesamt</x:v>
      </x:c>
      <x:c r="N3" s="108" t="str">
        <x:v>hotel_auslastung_manuell</x:v>
      </x:c>
      <x:c r="O3" s="108" t="str">
        <x:v>chalet_auslastung_manuell</x:v>
      </x:c>
      <x:c r="P3" s="108" t="str">
        <x:v>kommentar</x:v>
      </x:c>
      <x:c r="Q3" s="212" t="str">
        <x:v>kirchberghuette_belegt</x:v>
      </x:c>
      <x:c r="R3" s="212" t="str">
        <x:v>tagung_aktiv</x:v>
      </x:c>
      <x:c r="S3" s="212" t="str">
        <x:v>tagungsraum_auslastung</x:v>
      </x:c>
      <x:c r="T3" s="212" t="str">
        <x:v>waescherei_betrieb</x:v>
      </x:c>
      <x:c r="U3" s="212" t="str">
        <x:v>ladevorgaenge</x:v>
      </x:c>
    </x:row>
    <x:row r="4">
      <x:c r="A4" s="121" t="n">
        <x:f>IF(ROW()-4&lt;DATE('00_Eingabe'!$B$7+1,1,1)-DATE('00_Eingabe'!$B$7,1,1),DATE('00_Eingabe'!$B$7,1,1)+ROW()-4,"")</x:f>
        <x:v>45658</x:v>
      </x:c>
      <x:c r="B4" s="122" t="str">
        <x:f>IF(A4="","",IF(OR(AND(MONTH(A4)=12,DAY(A4)&gt;=20),AND(MONTH(A4)=1,DAY(A4)&lt;=2)),"Weihnachten",IF(OR(AND(MONTH(A4)=11,DAY(A4)&gt;=24),AND(MONTH(A4)=12,DAY(A4)&lt;=7)),"Betriebsferien",IF(OR(AND(MONTH(A4)=1,DAY(A4)&gt;=3),MONTH(A4)=2,MONTH(A4)=3,MONTH(A4)=4,MONTH(A4)=10,MONTH(A4)=11,AND(MONTH(A4)=12,DAY(A4)&lt;=15)),"Nebensaison","Hauptsaison"))))</x:f>
        <x:v>Weihnachten</x:v>
      </x:c>
      <x:c r="C4" s="122" t="str">
        <x:f>IF(A4="","",IF(WEEKDAY(A4,2)&gt;=6,"Wochenende","Unterwoche"))</x:f>
        <x:v>Unterwoche</x:v>
      </x:c>
      <x:c r="D4" s="123" t="n">
        <x:f>IF(A4="","",IF(N4&lt;&gt;"",N4,IF(B4="Nebensaison",IF(C4="Wochenende",'00_Eingabe'!$C$24,'00_Eingabe'!$B$24),IF(B4="Hauptsaison",IF(C4="Wochenende",'00_Eingabe'!$C$25,'00_Eingabe'!$B$25),IF(B4="Weihnachten",IF(C4="Wochenende",'00_Eingabe'!$C$26,'00_Eingabe'!$B$26),IF(C4="Wochenende",'00_Eingabe'!$C$27,'00_Eingabe'!$B$27))))))</x:f>
        <x:v>0.98</x:v>
      </x:c>
      <x:c r="E4" s="122" t="n">
        <x:f>IF(OR(A4="",D4=""),"",ROUND('00_Eingabe'!$B$8*D4,0))</x:f>
        <x:v>34</x:v>
      </x:c>
      <x:c r="F4" s="122" t="n">
        <x:f>IF(E4="","",ROUND(E4*'00_Eingabe'!$B$18,0))</x:f>
        <x:v>65</x:v>
      </x:c>
      <x:c r="G4" s="123" t="n">
        <x:f>IF(A4="","",IF(O4&lt;&gt;"",O4,IF(B4="Nebensaison",IF(C4="Wochenende",'00_Eingabe'!$E$24,'00_Eingabe'!$D$24),IF(B4="Hauptsaison",IF(C4="Wochenende",'00_Eingabe'!$E$25,'00_Eingabe'!$D$25),IF(B4="Weihnachten",IF(C4="Wochenende",'00_Eingabe'!$E$26,'00_Eingabe'!$D$26),IF(C4="Wochenende",'00_Eingabe'!$E$27,'00_Eingabe'!$D$27))))))</x:f>
        <x:v>0.98</x:v>
      </x:c>
      <x:c r="H4" s="122" t="n">
        <x:f>IF(OR(A4="",G4=""),"",ROUND('00_Eingabe'!$B$9*G4,0))</x:f>
        <x:v>4</x:v>
      </x:c>
      <x:c r="I4" s="122" t="n">
        <x:f>IF(H4="","",ROUND(H4*'00_Eingabe'!$B$19,0))</x:f>
        <x:v>9</x:v>
      </x:c>
      <x:c r="J4" s="122" t="n">
        <x:f>IF(OR(F4="",I4=""),"",F4+I4)</x:f>
        <x:v>74</x:v>
      </x:c>
      <x:c r="K4" s="122" t="n">
        <x:f>IF(J4="","",ROUND(J4*'00_Eingabe'!$B$16*(1+'00_Eingabe'!$B$14),0))</x:f>
        <x:v>85</x:v>
      </x:c>
      <x:c r="L4" s="122" t="n">
        <x:f>IF(B4="Betriebsferien",0,ROUND(J4*'00_Eingabe'!$B$40,0)+IF(C4="Wochenende",'00_Eingabe'!$B$42,'00_Eingabe'!$B$41))</x:f>
        <x:v>72</x:v>
      </x:c>
      <x:c r="M4" s="123" t="n">
        <x:f>IF(J4="","",ROUND(J4*'00_Eingabe'!$B$17*(1+'00_Eingabe'!$B$15),0))</x:f>
        <x:v>85</x:v>
      </x:c>
      <x:c r="N4" s="106"/>
      <x:c r="O4" s="106"/>
      <x:c r="P4" s="116"/>
      <x:c r="Q4" s="213" t="n">
        <x:f>IF(C4="Wochenende",1,0)</x:f>
        <x:v>0</x:v>
      </x:c>
      <x:c r="R4" s="213" t="n">
        <x:f>IF(AND(B4&lt;&gt;"Betriebsferien",OR(WEEKDAY(A4,2)=2,WEEKDAY(A4,2)=4)),1,0)</x:f>
        <x:v>0</x:v>
      </x:c>
      <x:c r="S4" s="214" t="n">
        <x:f>R4*MIN(1,'00_Eingabe'!$B$62/'00_Eingabe'!$B$61)</x:f>
        <x:v>0</x:v>
      </x:c>
      <x:c r="T4" s="213" t="n">
        <x:f>IF(B4="Betriebsferien",0,IF(B4="Nebensaison",IF(OR(WEEKDAY(A4,2)=1,WEEKDAY(A4,2)=3,WEEKDAY(A4,2)=5),1,0),IF(C4="Unterwoche",1,0)))</x:f>
        <x:v>1</x:v>
      </x:c>
      <x:c r="U4" s="213" t="n">
        <x:f>IF(B4="Betriebsferien",0,'00_Eingabe'!$G$24)</x:f>
        <x:v>8</x:v>
      </x:c>
    </x:row>
    <x:row r="5">
      <x:c r="A5" s="121" t="n">
        <x:f>IF(ROW()-4&lt;DATE('00_Eingabe'!$B$7+1,1,1)-DATE('00_Eingabe'!$B$7,1,1),DATE('00_Eingabe'!$B$7,1,1)+ROW()-4,"")</x:f>
        <x:v>45659</x:v>
      </x:c>
      <x:c r="B5" s="122" t="str">
        <x:f>IF(A5="","",IF(OR(AND(MONTH(A5)=12,DAY(A5)&gt;=20),AND(MONTH(A5)=1,DAY(A5)&lt;=2)),"Weihnachten",IF(OR(AND(MONTH(A5)=11,DAY(A5)&gt;=24),AND(MONTH(A5)=12,DAY(A5)&lt;=7)),"Betriebsferien",IF(OR(AND(MONTH(A5)=1,DAY(A5)&gt;=3),MONTH(A5)=2,MONTH(A5)=3,MONTH(A5)=4,MONTH(A5)=10,MONTH(A5)=11,AND(MONTH(A5)=12,DAY(A5)&lt;=15)),"Nebensaison","Hauptsaison"))))</x:f>
        <x:v>Weihnachten</x:v>
      </x:c>
      <x:c r="C5" s="122" t="str">
        <x:f>IF(A5="","",IF(WEEKDAY(A5,2)&gt;=6,"Wochenende","Unterwoche"))</x:f>
        <x:v>Unterwoche</x:v>
      </x:c>
      <x:c r="D5" s="123" t="n">
        <x:f>IF(A5="","",IF(N5&lt;&gt;"",N5,IF(B5="Nebensaison",IF(C5="Wochenende",'00_Eingabe'!$C$24,'00_Eingabe'!$B$24),IF(B5="Hauptsaison",IF(C5="Wochenende",'00_Eingabe'!$C$25,'00_Eingabe'!$B$25),IF(B5="Weihnachten",IF(C5="Wochenende",'00_Eingabe'!$C$26,'00_Eingabe'!$B$26),IF(C5="Wochenende",'00_Eingabe'!$C$27,'00_Eingabe'!$B$27))))))</x:f>
        <x:v>0.98</x:v>
      </x:c>
      <x:c r="E5" s="122" t="n">
        <x:f>IF(OR(A5="",D5=""),"",ROUND('00_Eingabe'!$B$8*D5,0))</x:f>
        <x:v>34</x:v>
      </x:c>
      <x:c r="F5" s="122" t="n">
        <x:f>IF(E5="","",ROUND(E5*'00_Eingabe'!$B$18,0))</x:f>
        <x:v>65</x:v>
      </x:c>
      <x:c r="G5" s="123" t="n">
        <x:f>IF(A5="","",IF(O5&lt;&gt;"",O5,IF(B5="Nebensaison",IF(C5="Wochenende",'00_Eingabe'!$E$24,'00_Eingabe'!$D$24),IF(B5="Hauptsaison",IF(C5="Wochenende",'00_Eingabe'!$E$25,'00_Eingabe'!$D$25),IF(B5="Weihnachten",IF(C5="Wochenende",'00_Eingabe'!$E$26,'00_Eingabe'!$D$26),IF(C5="Wochenende",'00_Eingabe'!$E$27,'00_Eingabe'!$D$27))))))</x:f>
        <x:v>0.98</x:v>
      </x:c>
      <x:c r="H5" s="122" t="n">
        <x:f>IF(OR(A5="",G5=""),"",ROUND('00_Eingabe'!$B$9*G5,0))</x:f>
        <x:v>4</x:v>
      </x:c>
      <x:c r="I5" s="122" t="n">
        <x:f>IF(H5="","",ROUND(H5*'00_Eingabe'!$B$19,0))</x:f>
        <x:v>9</x:v>
      </x:c>
      <x:c r="J5" s="122" t="n">
        <x:f>IF(OR(F5="",I5=""),"",F5+I5)</x:f>
        <x:v>74</x:v>
      </x:c>
      <x:c r="K5" s="122" t="n">
        <x:f>IF(J5="","",ROUND(J5*'00_Eingabe'!$B$16*(1+'00_Eingabe'!$B$14),0))</x:f>
        <x:v>85</x:v>
      </x:c>
      <x:c r="L5" s="122" t="n">
        <x:f>IF(B5="Betriebsferien",0,ROUND(J5*'00_Eingabe'!$B$40,0)+IF(C5="Wochenende",'00_Eingabe'!$B$42,'00_Eingabe'!$B$41))</x:f>
        <x:v>72</x:v>
      </x:c>
      <x:c r="M5" s="123" t="n">
        <x:f>IF(J5="","",ROUND(J5*'00_Eingabe'!$B$17*(1+'00_Eingabe'!$B$15),0))</x:f>
        <x:v>85</x:v>
      </x:c>
      <x:c r="N5" s="106"/>
      <x:c r="O5" s="106"/>
      <x:c r="P5" s="116"/>
      <x:c r="Q5" s="213" t="n">
        <x:f>IF(C5="Wochenende",1,0)</x:f>
        <x:v>0</x:v>
      </x:c>
      <x:c r="R5" s="213" t="n">
        <x:f>IF(AND(B5&lt;&gt;"Betriebsferien",OR(WEEKDAY(A5,2)=2,WEEKDAY(A5,2)=4)),1,0)</x:f>
        <x:v>1</x:v>
      </x:c>
      <x:c r="S5" s="214" t="n">
        <x:f>R5*MIN(1,'00_Eingabe'!$B$62/'00_Eingabe'!$B$61)</x:f>
        <x:v>0.5</x:v>
      </x:c>
      <x:c r="T5" s="213" t="n">
        <x:f>IF(B5="Betriebsferien",0,IF(B5="Nebensaison",IF(OR(WEEKDAY(A5,2)=1,WEEKDAY(A5,2)=3,WEEKDAY(A5,2)=5),1,0),IF(C5="Unterwoche",1,0)))</x:f>
        <x:v>1</x:v>
      </x:c>
      <x:c r="U5" s="213" t="n">
        <x:f>IF(B5="Betriebsferien",0,'00_Eingabe'!$G$24)</x:f>
        <x:v>8</x:v>
      </x:c>
    </x:row>
    <x:row r="6">
      <x:c r="A6" s="121" t="n">
        <x:f>IF(ROW()-4&lt;DATE('00_Eingabe'!$B$7+1,1,1)-DATE('00_Eingabe'!$B$7,1,1),DATE('00_Eingabe'!$B$7,1,1)+ROW()-4,"")</x:f>
        <x:v>45660</x:v>
      </x:c>
      <x:c r="B6" s="122" t="str">
        <x:f>IF(A6="","",IF(OR(AND(MONTH(A6)=12,DAY(A6)&gt;=20),AND(MONTH(A6)=1,DAY(A6)&lt;=2)),"Weihnachten",IF(OR(AND(MONTH(A6)=11,DAY(A6)&gt;=24),AND(MONTH(A6)=12,DAY(A6)&lt;=7)),"Betriebsferien",IF(OR(AND(MONTH(A6)=1,DAY(A6)&gt;=3),MONTH(A6)=2,MONTH(A6)=3,MONTH(A6)=4,MONTH(A6)=10,MONTH(A6)=11,AND(MONTH(A6)=12,DAY(A6)&lt;=15)),"Nebensaison","Hauptsaison"))))</x:f>
        <x:v>Nebensaison</x:v>
      </x:c>
      <x:c r="C6" s="122" t="str">
        <x:f>IF(A6="","",IF(WEEKDAY(A6,2)&gt;=6,"Wochenende","Unterwoche"))</x:f>
        <x:v>Unterwoche</x:v>
      </x:c>
      <x:c r="D6" s="123" t="n">
        <x:f>IF(A6="","",IF(N6&lt;&gt;"",N6,IF(B6="Nebensaison",IF(C6="Wochenende",'00_Eingabe'!$C$24,'00_Eingabe'!$B$24),IF(B6="Hauptsaison",IF(C6="Wochenende",'00_Eingabe'!$C$25,'00_Eingabe'!$B$25),IF(B6="Weihnachten",IF(C6="Wochenende",'00_Eingabe'!$C$26,'00_Eingabe'!$B$26),IF(C6="Wochenende",'00_Eingabe'!$C$27,'00_Eingabe'!$B$27))))))</x:f>
        <x:v>0.7</x:v>
      </x:c>
      <x:c r="E6" s="122" t="n">
        <x:f>IF(OR(A6="",D6=""),"",ROUND('00_Eingabe'!$B$8*D6,0))</x:f>
        <x:v>25</x:v>
      </x:c>
      <x:c r="F6" s="122" t="n">
        <x:f>IF(E6="","",ROUND(E6*'00_Eingabe'!$B$18,0))</x:f>
        <x:v>48</x:v>
      </x:c>
      <x:c r="G6" s="123" t="n">
        <x:f>IF(A6="","",IF(O6&lt;&gt;"",O6,IF(B6="Nebensaison",IF(C6="Wochenende",'00_Eingabe'!$E$24,'00_Eingabe'!$D$24),IF(B6="Hauptsaison",IF(C6="Wochenende",'00_Eingabe'!$E$25,'00_Eingabe'!$D$25),IF(B6="Weihnachten",IF(C6="Wochenende",'00_Eingabe'!$E$26,'00_Eingabe'!$D$26),IF(C6="Wochenende",'00_Eingabe'!$E$27,'00_Eingabe'!$D$27))))))</x:f>
        <x:v>0.7</x:v>
      </x:c>
      <x:c r="H6" s="122" t="n">
        <x:f>IF(OR(A6="",G6=""),"",ROUND('00_Eingabe'!$B$9*G6,0))</x:f>
        <x:v>3</x:v>
      </x:c>
      <x:c r="I6" s="122" t="n">
        <x:f>IF(H6="","",ROUND(H6*'00_Eingabe'!$B$19,0))</x:f>
        <x:v>7</x:v>
      </x:c>
      <x:c r="J6" s="122" t="n">
        <x:f>IF(OR(F6="",I6=""),"",F6+I6)</x:f>
        <x:v>55</x:v>
      </x:c>
      <x:c r="K6" s="122" t="n">
        <x:f>IF(J6="","",ROUND(J6*'00_Eingabe'!$B$16*(1+'00_Eingabe'!$B$14),0))</x:f>
        <x:v>63</x:v>
      </x:c>
      <x:c r="L6" s="122" t="n">
        <x:f>IF(B6="Betriebsferien",0,ROUND(J6*'00_Eingabe'!$B$40,0)+IF(C6="Wochenende",'00_Eingabe'!$B$42,'00_Eingabe'!$B$41))</x:f>
        <x:v>55</x:v>
      </x:c>
      <x:c r="M6" s="123" t="n">
        <x:f>IF(J6="","",ROUND(J6*'00_Eingabe'!$B$17*(1+'00_Eingabe'!$B$15),0))</x:f>
        <x:v>63</x:v>
      </x:c>
      <x:c r="N6" s="106"/>
      <x:c r="O6" s="106"/>
      <x:c r="P6" s="116"/>
      <x:c r="Q6" s="213" t="n">
        <x:f>IF(C6="Wochenende",1,0)</x:f>
        <x:v>0</x:v>
      </x:c>
      <x:c r="R6" s="213" t="n">
        <x:f>IF(AND(B6&lt;&gt;"Betriebsferien",OR(WEEKDAY(A6,2)=2,WEEKDAY(A6,2)=4)),1,0)</x:f>
        <x:v>0</x:v>
      </x:c>
      <x:c r="S6" s="214" t="n">
        <x:f>R6*MIN(1,'00_Eingabe'!$B$62/'00_Eingabe'!$B$61)</x:f>
        <x:v>0</x:v>
      </x:c>
      <x:c r="T6" s="213" t="n">
        <x:f>IF(B6="Betriebsferien",0,IF(B6="Nebensaison",IF(OR(WEEKDAY(A6,2)=1,WEEKDAY(A6,2)=3,WEEKDAY(A6,2)=5),1,0),IF(C6="Unterwoche",1,0)))</x:f>
        <x:v>1</x:v>
      </x:c>
      <x:c r="U6" s="213" t="n">
        <x:f>IF(B6="Betriebsferien",0,'00_Eingabe'!$G$24)</x:f>
        <x:v>8</x:v>
      </x:c>
    </x:row>
    <x:row r="7">
      <x:c r="A7" s="121" t="n">
        <x:f>IF(ROW()-4&lt;DATE('00_Eingabe'!$B$7+1,1,1)-DATE('00_Eingabe'!$B$7,1,1),DATE('00_Eingabe'!$B$7,1,1)+ROW()-4,"")</x:f>
        <x:v>45661</x:v>
      </x:c>
      <x:c r="B7" s="122" t="str">
        <x:f>IF(A7="","",IF(OR(AND(MONTH(A7)=12,DAY(A7)&gt;=20),AND(MONTH(A7)=1,DAY(A7)&lt;=2)),"Weihnachten",IF(OR(AND(MONTH(A7)=11,DAY(A7)&gt;=24),AND(MONTH(A7)=12,DAY(A7)&lt;=7)),"Betriebsferien",IF(OR(AND(MONTH(A7)=1,DAY(A7)&gt;=3),MONTH(A7)=2,MONTH(A7)=3,MONTH(A7)=4,MONTH(A7)=10,MONTH(A7)=11,AND(MONTH(A7)=12,DAY(A7)&lt;=15)),"Nebensaison","Hauptsaison"))))</x:f>
        <x:v>Nebensaison</x:v>
      </x:c>
      <x:c r="C7" s="122" t="str">
        <x:f>IF(A7="","",IF(WEEKDAY(A7,2)&gt;=6,"Wochenende","Unterwoche"))</x:f>
        <x:v>Wochenende</x:v>
      </x:c>
      <x:c r="D7" s="123" t="n">
        <x:f>IF(A7="","",IF(N7&lt;&gt;"",N7,IF(B7="Nebensaison",IF(C7="Wochenende",'00_Eingabe'!$C$24,'00_Eingabe'!$B$24),IF(B7="Hauptsaison",IF(C7="Wochenende",'00_Eingabe'!$C$25,'00_Eingabe'!$B$25),IF(B7="Weihnachten",IF(C7="Wochenende",'00_Eingabe'!$C$26,'00_Eingabe'!$B$26),IF(C7="Wochenende",'00_Eingabe'!$C$27,'00_Eingabe'!$B$27))))))</x:f>
        <x:v>0.75</x:v>
      </x:c>
      <x:c r="E7" s="122" t="n">
        <x:f>IF(OR(A7="",D7=""),"",ROUND('00_Eingabe'!$B$8*D7,0))</x:f>
        <x:v>26</x:v>
      </x:c>
      <x:c r="F7" s="122" t="n">
        <x:f>IF(E7="","",ROUND(E7*'00_Eingabe'!$B$18,0))</x:f>
        <x:v>49</x:v>
      </x:c>
      <x:c r="G7" s="123" t="n">
        <x:f>IF(A7="","",IF(O7&lt;&gt;"",O7,IF(B7="Nebensaison",IF(C7="Wochenende",'00_Eingabe'!$E$24,'00_Eingabe'!$D$24),IF(B7="Hauptsaison",IF(C7="Wochenende",'00_Eingabe'!$E$25,'00_Eingabe'!$D$25),IF(B7="Weihnachten",IF(C7="Wochenende",'00_Eingabe'!$E$26,'00_Eingabe'!$D$26),IF(C7="Wochenende",'00_Eingabe'!$E$27,'00_Eingabe'!$D$27))))))</x:f>
        <x:v>0.75</x:v>
      </x:c>
      <x:c r="H7" s="122" t="n">
        <x:f>IF(OR(A7="",G7=""),"",ROUND('00_Eingabe'!$B$9*G7,0))</x:f>
        <x:v>3</x:v>
      </x:c>
      <x:c r="I7" s="122" t="n">
        <x:f>IF(H7="","",ROUND(H7*'00_Eingabe'!$B$19,0))</x:f>
        <x:v>7</x:v>
      </x:c>
      <x:c r="J7" s="122" t="n">
        <x:f>IF(OR(F7="",I7=""),"",F7+I7)</x:f>
        <x:v>56</x:v>
      </x:c>
      <x:c r="K7" s="122" t="n">
        <x:f>IF(J7="","",ROUND(J7*'00_Eingabe'!$B$16*(1+'00_Eingabe'!$B$14),0))</x:f>
        <x:v>64</x:v>
      </x:c>
      <x:c r="L7" s="122" t="n">
        <x:f>IF(B7="Betriebsferien",0,ROUND(J7*'00_Eingabe'!$B$40,0)+IF(C7="Wochenende",'00_Eingabe'!$B$42,'00_Eingabe'!$B$41))</x:f>
        <x:v>80</x:v>
      </x:c>
      <x:c r="M7" s="123" t="n">
        <x:f>IF(J7="","",ROUND(J7*'00_Eingabe'!$B$17*(1+'00_Eingabe'!$B$15),0))</x:f>
        <x:v>64</x:v>
      </x:c>
      <x:c r="N7" s="106"/>
      <x:c r="O7" s="106"/>
      <x:c r="P7" s="116"/>
      <x:c r="Q7" s="213" t="n">
        <x:f>IF(C7="Wochenende",1,0)</x:f>
        <x:v>1</x:v>
      </x:c>
      <x:c r="R7" s="213" t="n">
        <x:f>IF(AND(B7&lt;&gt;"Betriebsferien",OR(WEEKDAY(A7,2)=2,WEEKDAY(A7,2)=4)),1,0)</x:f>
        <x:v>0</x:v>
      </x:c>
      <x:c r="S7" s="214" t="n">
        <x:f>R7*MIN(1,'00_Eingabe'!$B$62/'00_Eingabe'!$B$61)</x:f>
        <x:v>0</x:v>
      </x:c>
      <x:c r="T7" s="213" t="n">
        <x:f>IF(B7="Betriebsferien",0,IF(B7="Nebensaison",IF(OR(WEEKDAY(A7,2)=1,WEEKDAY(A7,2)=3,WEEKDAY(A7,2)=5),1,0),IF(C7="Unterwoche",1,0)))</x:f>
        <x:v>0</x:v>
      </x:c>
      <x:c r="U7" s="213" t="n">
        <x:f>IF(B7="Betriebsferien",0,'00_Eingabe'!$G$24)</x:f>
        <x:v>8</x:v>
      </x:c>
    </x:row>
    <x:row r="8">
      <x:c r="A8" s="121" t="n">
        <x:f>IF(ROW()-4&lt;DATE('00_Eingabe'!$B$7+1,1,1)-DATE('00_Eingabe'!$B$7,1,1),DATE('00_Eingabe'!$B$7,1,1)+ROW()-4,"")</x:f>
        <x:v>45662</x:v>
      </x:c>
      <x:c r="B8" s="122" t="str">
        <x:f>IF(A8="","",IF(OR(AND(MONTH(A8)=12,DAY(A8)&gt;=20),AND(MONTH(A8)=1,DAY(A8)&lt;=2)),"Weihnachten",IF(OR(AND(MONTH(A8)=11,DAY(A8)&gt;=24),AND(MONTH(A8)=12,DAY(A8)&lt;=7)),"Betriebsferien",IF(OR(AND(MONTH(A8)=1,DAY(A8)&gt;=3),MONTH(A8)=2,MONTH(A8)=3,MONTH(A8)=4,MONTH(A8)=10,MONTH(A8)=11,AND(MONTH(A8)=12,DAY(A8)&lt;=15)),"Nebensaison","Hauptsaison"))))</x:f>
        <x:v>Nebensaison</x:v>
      </x:c>
      <x:c r="C8" s="122" t="str">
        <x:f>IF(A8="","",IF(WEEKDAY(A8,2)&gt;=6,"Wochenende","Unterwoche"))</x:f>
        <x:v>Wochenende</x:v>
      </x:c>
      <x:c r="D8" s="123" t="n">
        <x:f>IF(A8="","",IF(N8&lt;&gt;"",N8,IF(B8="Nebensaison",IF(C8="Wochenende",'00_Eingabe'!$C$24,'00_Eingabe'!$B$24),IF(B8="Hauptsaison",IF(C8="Wochenende",'00_Eingabe'!$C$25,'00_Eingabe'!$B$25),IF(B8="Weihnachten",IF(C8="Wochenende",'00_Eingabe'!$C$26,'00_Eingabe'!$B$26),IF(C8="Wochenende",'00_Eingabe'!$C$27,'00_Eingabe'!$B$27))))))</x:f>
        <x:v>0.75</x:v>
      </x:c>
      <x:c r="E8" s="122" t="n">
        <x:f>IF(OR(A8="",D8=""),"",ROUND('00_Eingabe'!$B$8*D8,0))</x:f>
        <x:v>26</x:v>
      </x:c>
      <x:c r="F8" s="122" t="n">
        <x:f>IF(E8="","",ROUND(E8*'00_Eingabe'!$B$18,0))</x:f>
        <x:v>49</x:v>
      </x:c>
      <x:c r="G8" s="123" t="n">
        <x:f>IF(A8="","",IF(O8&lt;&gt;"",O8,IF(B8="Nebensaison",IF(C8="Wochenende",'00_Eingabe'!$E$24,'00_Eingabe'!$D$24),IF(B8="Hauptsaison",IF(C8="Wochenende",'00_Eingabe'!$E$25,'00_Eingabe'!$D$25),IF(B8="Weihnachten",IF(C8="Wochenende",'00_Eingabe'!$E$26,'00_Eingabe'!$D$26),IF(C8="Wochenende",'00_Eingabe'!$E$27,'00_Eingabe'!$D$27))))))</x:f>
        <x:v>0.75</x:v>
      </x:c>
      <x:c r="H8" s="122" t="n">
        <x:f>IF(OR(A8="",G8=""),"",ROUND('00_Eingabe'!$B$9*G8,0))</x:f>
        <x:v>3</x:v>
      </x:c>
      <x:c r="I8" s="122" t="n">
        <x:f>IF(H8="","",ROUND(H8*'00_Eingabe'!$B$19,0))</x:f>
        <x:v>7</x:v>
      </x:c>
      <x:c r="J8" s="122" t="n">
        <x:f>IF(OR(F8="",I8=""),"",F8+I8)</x:f>
        <x:v>56</x:v>
      </x:c>
      <x:c r="K8" s="122" t="n">
        <x:f>IF(J8="","",ROUND(J8*'00_Eingabe'!$B$16*(1+'00_Eingabe'!$B$14),0))</x:f>
        <x:v>64</x:v>
      </x:c>
      <x:c r="L8" s="122" t="n">
        <x:f>IF(B8="Betriebsferien",0,ROUND(J8*'00_Eingabe'!$B$40,0)+IF(C8="Wochenende",'00_Eingabe'!$B$42,'00_Eingabe'!$B$41))</x:f>
        <x:v>80</x:v>
      </x:c>
      <x:c r="M8" s="123" t="n">
        <x:f>IF(J8="","",ROUND(J8*'00_Eingabe'!$B$17*(1+'00_Eingabe'!$B$15),0))</x:f>
        <x:v>64</x:v>
      </x:c>
      <x:c r="N8" s="106"/>
      <x:c r="O8" s="106"/>
      <x:c r="P8" s="116"/>
      <x:c r="Q8" s="213" t="n">
        <x:f>IF(C8="Wochenende",1,0)</x:f>
        <x:v>1</x:v>
      </x:c>
      <x:c r="R8" s="213" t="n">
        <x:f>IF(AND(B8&lt;&gt;"Betriebsferien",OR(WEEKDAY(A8,2)=2,WEEKDAY(A8,2)=4)),1,0)</x:f>
        <x:v>0</x:v>
      </x:c>
      <x:c r="S8" s="214" t="n">
        <x:f>R8*MIN(1,'00_Eingabe'!$B$62/'00_Eingabe'!$B$61)</x:f>
        <x:v>0</x:v>
      </x:c>
      <x:c r="T8" s="213" t="n">
        <x:f>IF(B8="Betriebsferien",0,IF(B8="Nebensaison",IF(OR(WEEKDAY(A8,2)=1,WEEKDAY(A8,2)=3,WEEKDAY(A8,2)=5),1,0),IF(C8="Unterwoche",1,0)))</x:f>
        <x:v>0</x:v>
      </x:c>
      <x:c r="U8" s="213" t="n">
        <x:f>IF(B8="Betriebsferien",0,'00_Eingabe'!$G$24)</x:f>
        <x:v>8</x:v>
      </x:c>
    </x:row>
    <x:row r="9">
      <x:c r="A9" s="121" t="n">
        <x:f>IF(ROW()-4&lt;DATE('00_Eingabe'!$B$7+1,1,1)-DATE('00_Eingabe'!$B$7,1,1),DATE('00_Eingabe'!$B$7,1,1)+ROW()-4,"")</x:f>
        <x:v>45663</x:v>
      </x:c>
      <x:c r="B9" s="122" t="str">
        <x:f>IF(A9="","",IF(OR(AND(MONTH(A9)=12,DAY(A9)&gt;=20),AND(MONTH(A9)=1,DAY(A9)&lt;=2)),"Weihnachten",IF(OR(AND(MONTH(A9)=11,DAY(A9)&gt;=24),AND(MONTH(A9)=12,DAY(A9)&lt;=7)),"Betriebsferien",IF(OR(AND(MONTH(A9)=1,DAY(A9)&gt;=3),MONTH(A9)=2,MONTH(A9)=3,MONTH(A9)=4,MONTH(A9)=10,MONTH(A9)=11,AND(MONTH(A9)=12,DAY(A9)&lt;=15)),"Nebensaison","Hauptsaison"))))</x:f>
        <x:v>Nebensaison</x:v>
      </x:c>
      <x:c r="C9" s="122" t="str">
        <x:f>IF(A9="","",IF(WEEKDAY(A9,2)&gt;=6,"Wochenende","Unterwoche"))</x:f>
        <x:v>Unterwoche</x:v>
      </x:c>
      <x:c r="D9" s="123" t="n">
        <x:f>IF(A9="","",IF(N9&lt;&gt;"",N9,IF(B9="Nebensaison",IF(C9="Wochenende",'00_Eingabe'!$C$24,'00_Eingabe'!$B$24),IF(B9="Hauptsaison",IF(C9="Wochenende",'00_Eingabe'!$C$25,'00_Eingabe'!$B$25),IF(B9="Weihnachten",IF(C9="Wochenende",'00_Eingabe'!$C$26,'00_Eingabe'!$B$26),IF(C9="Wochenende",'00_Eingabe'!$C$27,'00_Eingabe'!$B$27))))))</x:f>
        <x:v>0.7</x:v>
      </x:c>
      <x:c r="E9" s="122" t="n">
        <x:f>IF(OR(A9="",D9=""),"",ROUND('00_Eingabe'!$B$8*D9,0))</x:f>
        <x:v>25</x:v>
      </x:c>
      <x:c r="F9" s="122" t="n">
        <x:f>IF(E9="","",ROUND(E9*'00_Eingabe'!$B$18,0))</x:f>
        <x:v>48</x:v>
      </x:c>
      <x:c r="G9" s="123" t="n">
        <x:f>IF(A9="","",IF(O9&lt;&gt;"",O9,IF(B9="Nebensaison",IF(C9="Wochenende",'00_Eingabe'!$E$24,'00_Eingabe'!$D$24),IF(B9="Hauptsaison",IF(C9="Wochenende",'00_Eingabe'!$E$25,'00_Eingabe'!$D$25),IF(B9="Weihnachten",IF(C9="Wochenende",'00_Eingabe'!$E$26,'00_Eingabe'!$D$26),IF(C9="Wochenende",'00_Eingabe'!$E$27,'00_Eingabe'!$D$27))))))</x:f>
        <x:v>0.7</x:v>
      </x:c>
      <x:c r="H9" s="122" t="n">
        <x:f>IF(OR(A9="",G9=""),"",ROUND('00_Eingabe'!$B$9*G9,0))</x:f>
        <x:v>3</x:v>
      </x:c>
      <x:c r="I9" s="122" t="n">
        <x:f>IF(H9="","",ROUND(H9*'00_Eingabe'!$B$19,0))</x:f>
        <x:v>7</x:v>
      </x:c>
      <x:c r="J9" s="122" t="n">
        <x:f>IF(OR(F9="",I9=""),"",F9+I9)</x:f>
        <x:v>55</x:v>
      </x:c>
      <x:c r="K9" s="122" t="n">
        <x:f>IF(J9="","",ROUND(J9*'00_Eingabe'!$B$16*(1+'00_Eingabe'!$B$14),0))</x:f>
        <x:v>63</x:v>
      </x:c>
      <x:c r="L9" s="122" t="n">
        <x:f>IF(B9="Betriebsferien",0,ROUND(J9*'00_Eingabe'!$B$40,0)+IF(C9="Wochenende",'00_Eingabe'!$B$42,'00_Eingabe'!$B$41))</x:f>
        <x:v>55</x:v>
      </x:c>
      <x:c r="M9" s="123" t="n">
        <x:f>IF(J9="","",ROUND(J9*'00_Eingabe'!$B$17*(1+'00_Eingabe'!$B$15),0))</x:f>
        <x:v>63</x:v>
      </x:c>
      <x:c r="N9" s="106"/>
      <x:c r="O9" s="106"/>
      <x:c r="P9" s="116"/>
      <x:c r="Q9" s="213" t="n">
        <x:f>IF(C9="Wochenende",1,0)</x:f>
        <x:v>0</x:v>
      </x:c>
      <x:c r="R9" s="213" t="n">
        <x:f>IF(AND(B9&lt;&gt;"Betriebsferien",OR(WEEKDAY(A9,2)=2,WEEKDAY(A9,2)=4)),1,0)</x:f>
        <x:v>0</x:v>
      </x:c>
      <x:c r="S9" s="214" t="n">
        <x:f>R9*MIN(1,'00_Eingabe'!$B$62/'00_Eingabe'!$B$61)</x:f>
        <x:v>0</x:v>
      </x:c>
      <x:c r="T9" s="213" t="n">
        <x:f>IF(B9="Betriebsferien",0,IF(B9="Nebensaison",IF(OR(WEEKDAY(A9,2)=1,WEEKDAY(A9,2)=3,WEEKDAY(A9,2)=5),1,0),IF(C9="Unterwoche",1,0)))</x:f>
        <x:v>1</x:v>
      </x:c>
      <x:c r="U9" s="213" t="n">
        <x:f>IF(B9="Betriebsferien",0,'00_Eingabe'!$G$24)</x:f>
        <x:v>8</x:v>
      </x:c>
    </x:row>
    <x:row r="10">
      <x:c r="A10" s="121" t="n">
        <x:f>IF(ROW()-4&lt;DATE('00_Eingabe'!$B$7+1,1,1)-DATE('00_Eingabe'!$B$7,1,1),DATE('00_Eingabe'!$B$7,1,1)+ROW()-4,"")</x:f>
        <x:v>45664</x:v>
      </x:c>
      <x:c r="B10" s="122" t="str">
        <x:f>IF(A10="","",IF(OR(AND(MONTH(A10)=12,DAY(A10)&gt;=20),AND(MONTH(A10)=1,DAY(A10)&lt;=2)),"Weihnachten",IF(OR(AND(MONTH(A10)=11,DAY(A10)&gt;=24),AND(MONTH(A10)=12,DAY(A10)&lt;=7)),"Betriebsferien",IF(OR(AND(MONTH(A10)=1,DAY(A10)&gt;=3),MONTH(A10)=2,MONTH(A10)=3,MONTH(A10)=4,MONTH(A10)=10,MONTH(A10)=11,AND(MONTH(A10)=12,DAY(A10)&lt;=15)),"Nebensaison","Hauptsaison"))))</x:f>
        <x:v>Nebensaison</x:v>
      </x:c>
      <x:c r="C10" s="122" t="str">
        <x:f>IF(A10="","",IF(WEEKDAY(A10,2)&gt;=6,"Wochenende","Unterwoche"))</x:f>
        <x:v>Unterwoche</x:v>
      </x:c>
      <x:c r="D10" s="123" t="n">
        <x:f>IF(A10="","",IF(N10&lt;&gt;"",N10,IF(B10="Nebensaison",IF(C10="Wochenende",'00_Eingabe'!$C$24,'00_Eingabe'!$B$24),IF(B10="Hauptsaison",IF(C10="Wochenende",'00_Eingabe'!$C$25,'00_Eingabe'!$B$25),IF(B10="Weihnachten",IF(C10="Wochenende",'00_Eingabe'!$C$26,'00_Eingabe'!$B$26),IF(C10="Wochenende",'00_Eingabe'!$C$27,'00_Eingabe'!$B$27))))))</x:f>
        <x:v>0.7</x:v>
      </x:c>
      <x:c r="E10" s="122" t="n">
        <x:f>IF(OR(A10="",D10=""),"",ROUND('00_Eingabe'!$B$8*D10,0))</x:f>
        <x:v>25</x:v>
      </x:c>
      <x:c r="F10" s="122" t="n">
        <x:f>IF(E10="","",ROUND(E10*'00_Eingabe'!$B$18,0))</x:f>
        <x:v>48</x:v>
      </x:c>
      <x:c r="G10" s="123" t="n">
        <x:f>IF(A10="","",IF(O10&lt;&gt;"",O10,IF(B10="Nebensaison",IF(C10="Wochenende",'00_Eingabe'!$E$24,'00_Eingabe'!$D$24),IF(B10="Hauptsaison",IF(C10="Wochenende",'00_Eingabe'!$E$25,'00_Eingabe'!$D$25),IF(B10="Weihnachten",IF(C10="Wochenende",'00_Eingabe'!$E$26,'00_Eingabe'!$D$26),IF(C10="Wochenende",'00_Eingabe'!$E$27,'00_Eingabe'!$D$27))))))</x:f>
        <x:v>0.7</x:v>
      </x:c>
      <x:c r="H10" s="122" t="n">
        <x:f>IF(OR(A10="",G10=""),"",ROUND('00_Eingabe'!$B$9*G10,0))</x:f>
        <x:v>3</x:v>
      </x:c>
      <x:c r="I10" s="122" t="n">
        <x:f>IF(H10="","",ROUND(H10*'00_Eingabe'!$B$19,0))</x:f>
        <x:v>7</x:v>
      </x:c>
      <x:c r="J10" s="122" t="n">
        <x:f>IF(OR(F10="",I10=""),"",F10+I10)</x:f>
        <x:v>55</x:v>
      </x:c>
      <x:c r="K10" s="122" t="n">
        <x:f>IF(J10="","",ROUND(J10*'00_Eingabe'!$B$16*(1+'00_Eingabe'!$B$14),0))</x:f>
        <x:v>63</x:v>
      </x:c>
      <x:c r="L10" s="122" t="n">
        <x:f>IF(B10="Betriebsferien",0,ROUND(J10*'00_Eingabe'!$B$40,0)+IF(C10="Wochenende",'00_Eingabe'!$B$42,'00_Eingabe'!$B$41))</x:f>
        <x:v>55</x:v>
      </x:c>
      <x:c r="M10" s="123" t="n">
        <x:f>IF(J10="","",ROUND(J10*'00_Eingabe'!$B$17*(1+'00_Eingabe'!$B$15),0))</x:f>
        <x:v>63</x:v>
      </x:c>
      <x:c r="N10" s="106"/>
      <x:c r="O10" s="106"/>
      <x:c r="P10" s="116"/>
      <x:c r="Q10" s="213" t="n">
        <x:f>IF(C10="Wochenende",1,0)</x:f>
        <x:v>0</x:v>
      </x:c>
      <x:c r="R10" s="213" t="n">
        <x:f>IF(AND(B10&lt;&gt;"Betriebsferien",OR(WEEKDAY(A10,2)=2,WEEKDAY(A10,2)=4)),1,0)</x:f>
        <x:v>1</x:v>
      </x:c>
      <x:c r="S10" s="214" t="n">
        <x:f>R10*MIN(1,'00_Eingabe'!$B$62/'00_Eingabe'!$B$61)</x:f>
        <x:v>0.5</x:v>
      </x:c>
      <x:c r="T10" s="213" t="n">
        <x:f>IF(B10="Betriebsferien",0,IF(B10="Nebensaison",IF(OR(WEEKDAY(A10,2)=1,WEEKDAY(A10,2)=3,WEEKDAY(A10,2)=5),1,0),IF(C10="Unterwoche",1,0)))</x:f>
        <x:v>0</x:v>
      </x:c>
      <x:c r="U10" s="213" t="n">
        <x:f>IF(B10="Betriebsferien",0,'00_Eingabe'!$G$24)</x:f>
        <x:v>8</x:v>
      </x:c>
    </x:row>
    <x:row r="11">
      <x:c r="A11" s="121" t="n">
        <x:f>IF(ROW()-4&lt;DATE('00_Eingabe'!$B$7+1,1,1)-DATE('00_Eingabe'!$B$7,1,1),DATE('00_Eingabe'!$B$7,1,1)+ROW()-4,"")</x:f>
        <x:v>45665</x:v>
      </x:c>
      <x:c r="B11" s="122" t="str">
        <x:f>IF(A11="","",IF(OR(AND(MONTH(A11)=12,DAY(A11)&gt;=20),AND(MONTH(A11)=1,DAY(A11)&lt;=2)),"Weihnachten",IF(OR(AND(MONTH(A11)=11,DAY(A11)&gt;=24),AND(MONTH(A11)=12,DAY(A11)&lt;=7)),"Betriebsferien",IF(OR(AND(MONTH(A11)=1,DAY(A11)&gt;=3),MONTH(A11)=2,MONTH(A11)=3,MONTH(A11)=4,MONTH(A11)=10,MONTH(A11)=11,AND(MONTH(A11)=12,DAY(A11)&lt;=15)),"Nebensaison","Hauptsaison"))))</x:f>
        <x:v>Nebensaison</x:v>
      </x:c>
      <x:c r="C11" s="122" t="str">
        <x:f>IF(A11="","",IF(WEEKDAY(A11,2)&gt;=6,"Wochenende","Unterwoche"))</x:f>
        <x:v>Unterwoche</x:v>
      </x:c>
      <x:c r="D11" s="123" t="n">
        <x:f>IF(A11="","",IF(N11&lt;&gt;"",N11,IF(B11="Nebensaison",IF(C11="Wochenende",'00_Eingabe'!$C$24,'00_Eingabe'!$B$24),IF(B11="Hauptsaison",IF(C11="Wochenende",'00_Eingabe'!$C$25,'00_Eingabe'!$B$25),IF(B11="Weihnachten",IF(C11="Wochenende",'00_Eingabe'!$C$26,'00_Eingabe'!$B$26),IF(C11="Wochenende",'00_Eingabe'!$C$27,'00_Eingabe'!$B$27))))))</x:f>
        <x:v>0.7</x:v>
      </x:c>
      <x:c r="E11" s="122" t="n">
        <x:f>IF(OR(A11="",D11=""),"",ROUND('00_Eingabe'!$B$8*D11,0))</x:f>
        <x:v>25</x:v>
      </x:c>
      <x:c r="F11" s="122" t="n">
        <x:f>IF(E11="","",ROUND(E11*'00_Eingabe'!$B$18,0))</x:f>
        <x:v>48</x:v>
      </x:c>
      <x:c r="G11" s="123" t="n">
        <x:f>IF(A11="","",IF(O11&lt;&gt;"",O11,IF(B11="Nebensaison",IF(C11="Wochenende",'00_Eingabe'!$E$24,'00_Eingabe'!$D$24),IF(B11="Hauptsaison",IF(C11="Wochenende",'00_Eingabe'!$E$25,'00_Eingabe'!$D$25),IF(B11="Weihnachten",IF(C11="Wochenende",'00_Eingabe'!$E$26,'00_Eingabe'!$D$26),IF(C11="Wochenende",'00_Eingabe'!$E$27,'00_Eingabe'!$D$27))))))</x:f>
        <x:v>0.7</x:v>
      </x:c>
      <x:c r="H11" s="122" t="n">
        <x:f>IF(OR(A11="",G11=""),"",ROUND('00_Eingabe'!$B$9*G11,0))</x:f>
        <x:v>3</x:v>
      </x:c>
      <x:c r="I11" s="122" t="n">
        <x:f>IF(H11="","",ROUND(H11*'00_Eingabe'!$B$19,0))</x:f>
        <x:v>7</x:v>
      </x:c>
      <x:c r="J11" s="122" t="n">
        <x:f>IF(OR(F11="",I11=""),"",F11+I11)</x:f>
        <x:v>55</x:v>
      </x:c>
      <x:c r="K11" s="122" t="n">
        <x:f>IF(J11="","",ROUND(J11*'00_Eingabe'!$B$16*(1+'00_Eingabe'!$B$14),0))</x:f>
        <x:v>63</x:v>
      </x:c>
      <x:c r="L11" s="122" t="n">
        <x:f>IF(B11="Betriebsferien",0,ROUND(J11*'00_Eingabe'!$B$40,0)+IF(C11="Wochenende",'00_Eingabe'!$B$42,'00_Eingabe'!$B$41))</x:f>
        <x:v>55</x:v>
      </x:c>
      <x:c r="M11" s="123" t="n">
        <x:f>IF(J11="","",ROUND(J11*'00_Eingabe'!$B$17*(1+'00_Eingabe'!$B$15),0))</x:f>
        <x:v>63</x:v>
      </x:c>
      <x:c r="N11" s="106"/>
      <x:c r="O11" s="106"/>
      <x:c r="P11" s="116"/>
      <x:c r="Q11" s="213" t="n">
        <x:f>IF(C11="Wochenende",1,0)</x:f>
        <x:v>0</x:v>
      </x:c>
      <x:c r="R11" s="213" t="n">
        <x:f>IF(AND(B11&lt;&gt;"Betriebsferien",OR(WEEKDAY(A11,2)=2,WEEKDAY(A11,2)=4)),1,0)</x:f>
        <x:v>0</x:v>
      </x:c>
      <x:c r="S11" s="214" t="n">
        <x:f>R11*MIN(1,'00_Eingabe'!$B$62/'00_Eingabe'!$B$61)</x:f>
        <x:v>0</x:v>
      </x:c>
      <x:c r="T11" s="213" t="n">
        <x:f>IF(B11="Betriebsferien",0,IF(B11="Nebensaison",IF(OR(WEEKDAY(A11,2)=1,WEEKDAY(A11,2)=3,WEEKDAY(A11,2)=5),1,0),IF(C11="Unterwoche",1,0)))</x:f>
        <x:v>1</x:v>
      </x:c>
      <x:c r="U11" s="213" t="n">
        <x:f>IF(B11="Betriebsferien",0,'00_Eingabe'!$G$24)</x:f>
        <x:v>8</x:v>
      </x:c>
    </x:row>
    <x:row r="12">
      <x:c r="A12" s="121" t="n">
        <x:f>IF(ROW()-4&lt;DATE('00_Eingabe'!$B$7+1,1,1)-DATE('00_Eingabe'!$B$7,1,1),DATE('00_Eingabe'!$B$7,1,1)+ROW()-4,"")</x:f>
        <x:v>45666</x:v>
      </x:c>
      <x:c r="B12" s="122" t="str">
        <x:f>IF(A12="","",IF(OR(AND(MONTH(A12)=12,DAY(A12)&gt;=20),AND(MONTH(A12)=1,DAY(A12)&lt;=2)),"Weihnachten",IF(OR(AND(MONTH(A12)=11,DAY(A12)&gt;=24),AND(MONTH(A12)=12,DAY(A12)&lt;=7)),"Betriebsferien",IF(OR(AND(MONTH(A12)=1,DAY(A12)&gt;=3),MONTH(A12)=2,MONTH(A12)=3,MONTH(A12)=4,MONTH(A12)=10,MONTH(A12)=11,AND(MONTH(A12)=12,DAY(A12)&lt;=15)),"Nebensaison","Hauptsaison"))))</x:f>
        <x:v>Nebensaison</x:v>
      </x:c>
      <x:c r="C12" s="122" t="str">
        <x:f>IF(A12="","",IF(WEEKDAY(A12,2)&gt;=6,"Wochenende","Unterwoche"))</x:f>
        <x:v>Unterwoche</x:v>
      </x:c>
      <x:c r="D12" s="123" t="n">
        <x:f>IF(A12="","",IF(N12&lt;&gt;"",N12,IF(B12="Nebensaison",IF(C12="Wochenende",'00_Eingabe'!$C$24,'00_Eingabe'!$B$24),IF(B12="Hauptsaison",IF(C12="Wochenende",'00_Eingabe'!$C$25,'00_Eingabe'!$B$25),IF(B12="Weihnachten",IF(C12="Wochenende",'00_Eingabe'!$C$26,'00_Eingabe'!$B$26),IF(C12="Wochenende",'00_Eingabe'!$C$27,'00_Eingabe'!$B$27))))))</x:f>
        <x:v>0.7</x:v>
      </x:c>
      <x:c r="E12" s="122" t="n">
        <x:f>IF(OR(A12="",D12=""),"",ROUND('00_Eingabe'!$B$8*D12,0))</x:f>
        <x:v>25</x:v>
      </x:c>
      <x:c r="F12" s="122" t="n">
        <x:f>IF(E12="","",ROUND(E12*'00_Eingabe'!$B$18,0))</x:f>
        <x:v>48</x:v>
      </x:c>
      <x:c r="G12" s="123" t="n">
        <x:f>IF(A12="","",IF(O12&lt;&gt;"",O12,IF(B12="Nebensaison",IF(C12="Wochenende",'00_Eingabe'!$E$24,'00_Eingabe'!$D$24),IF(B12="Hauptsaison",IF(C12="Wochenende",'00_Eingabe'!$E$25,'00_Eingabe'!$D$25),IF(B12="Weihnachten",IF(C12="Wochenende",'00_Eingabe'!$E$26,'00_Eingabe'!$D$26),IF(C12="Wochenende",'00_Eingabe'!$E$27,'00_Eingabe'!$D$27))))))</x:f>
        <x:v>0.7</x:v>
      </x:c>
      <x:c r="H12" s="122" t="n">
        <x:f>IF(OR(A12="",G12=""),"",ROUND('00_Eingabe'!$B$9*G12,0))</x:f>
        <x:v>3</x:v>
      </x:c>
      <x:c r="I12" s="122" t="n">
        <x:f>IF(H12="","",ROUND(H12*'00_Eingabe'!$B$19,0))</x:f>
        <x:v>7</x:v>
      </x:c>
      <x:c r="J12" s="122" t="n">
        <x:f>IF(OR(F12="",I12=""),"",F12+I12)</x:f>
        <x:v>55</x:v>
      </x:c>
      <x:c r="K12" s="122" t="n">
        <x:f>IF(J12="","",ROUND(J12*'00_Eingabe'!$B$16*(1+'00_Eingabe'!$B$14),0))</x:f>
        <x:v>63</x:v>
      </x:c>
      <x:c r="L12" s="122" t="n">
        <x:f>IF(B12="Betriebsferien",0,ROUND(J12*'00_Eingabe'!$B$40,0)+IF(C12="Wochenende",'00_Eingabe'!$B$42,'00_Eingabe'!$B$41))</x:f>
        <x:v>55</x:v>
      </x:c>
      <x:c r="M12" s="123" t="n">
        <x:f>IF(J12="","",ROUND(J12*'00_Eingabe'!$B$17*(1+'00_Eingabe'!$B$15),0))</x:f>
        <x:v>63</x:v>
      </x:c>
      <x:c r="N12" s="106"/>
      <x:c r="O12" s="106"/>
      <x:c r="P12" s="116"/>
      <x:c r="Q12" s="213" t="n">
        <x:f>IF(C12="Wochenende",1,0)</x:f>
        <x:v>0</x:v>
      </x:c>
      <x:c r="R12" s="213" t="n">
        <x:f>IF(AND(B12&lt;&gt;"Betriebsferien",OR(WEEKDAY(A12,2)=2,WEEKDAY(A12,2)=4)),1,0)</x:f>
        <x:v>1</x:v>
      </x:c>
      <x:c r="S12" s="214" t="n">
        <x:f>R12*MIN(1,'00_Eingabe'!$B$62/'00_Eingabe'!$B$61)</x:f>
        <x:v>0.5</x:v>
      </x:c>
      <x:c r="T12" s="213" t="n">
        <x:f>IF(B12="Betriebsferien",0,IF(B12="Nebensaison",IF(OR(WEEKDAY(A12,2)=1,WEEKDAY(A12,2)=3,WEEKDAY(A12,2)=5),1,0),IF(C12="Unterwoche",1,0)))</x:f>
        <x:v>0</x:v>
      </x:c>
      <x:c r="U12" s="213" t="n">
        <x:f>IF(B12="Betriebsferien",0,'00_Eingabe'!$G$24)</x:f>
        <x:v>8</x:v>
      </x:c>
    </x:row>
    <x:row r="13">
      <x:c r="A13" s="121" t="n">
        <x:f>IF(ROW()-4&lt;DATE('00_Eingabe'!$B$7+1,1,1)-DATE('00_Eingabe'!$B$7,1,1),DATE('00_Eingabe'!$B$7,1,1)+ROW()-4,"")</x:f>
        <x:v>45667</x:v>
      </x:c>
      <x:c r="B13" s="122" t="str">
        <x:f>IF(A13="","",IF(OR(AND(MONTH(A13)=12,DAY(A13)&gt;=20),AND(MONTH(A13)=1,DAY(A13)&lt;=2)),"Weihnachten",IF(OR(AND(MONTH(A13)=11,DAY(A13)&gt;=24),AND(MONTH(A13)=12,DAY(A13)&lt;=7)),"Betriebsferien",IF(OR(AND(MONTH(A13)=1,DAY(A13)&gt;=3),MONTH(A13)=2,MONTH(A13)=3,MONTH(A13)=4,MONTH(A13)=10,MONTH(A13)=11,AND(MONTH(A13)=12,DAY(A13)&lt;=15)),"Nebensaison","Hauptsaison"))))</x:f>
        <x:v>Nebensaison</x:v>
      </x:c>
      <x:c r="C13" s="122" t="str">
        <x:f>IF(A13="","",IF(WEEKDAY(A13,2)&gt;=6,"Wochenende","Unterwoche"))</x:f>
        <x:v>Unterwoche</x:v>
      </x:c>
      <x:c r="D13" s="123" t="n">
        <x:f>IF(A13="","",IF(N13&lt;&gt;"",N13,IF(B13="Nebensaison",IF(C13="Wochenende",'00_Eingabe'!$C$24,'00_Eingabe'!$B$24),IF(B13="Hauptsaison",IF(C13="Wochenende",'00_Eingabe'!$C$25,'00_Eingabe'!$B$25),IF(B13="Weihnachten",IF(C13="Wochenende",'00_Eingabe'!$C$26,'00_Eingabe'!$B$26),IF(C13="Wochenende",'00_Eingabe'!$C$27,'00_Eingabe'!$B$27))))))</x:f>
        <x:v>0.7</x:v>
      </x:c>
      <x:c r="E13" s="122" t="n">
        <x:f>IF(OR(A13="",D13=""),"",ROUND('00_Eingabe'!$B$8*D13,0))</x:f>
        <x:v>25</x:v>
      </x:c>
      <x:c r="F13" s="122" t="n">
        <x:f>IF(E13="","",ROUND(E13*'00_Eingabe'!$B$18,0))</x:f>
        <x:v>48</x:v>
      </x:c>
      <x:c r="G13" s="123" t="n">
        <x:f>IF(A13="","",IF(O13&lt;&gt;"",O13,IF(B13="Nebensaison",IF(C13="Wochenende",'00_Eingabe'!$E$24,'00_Eingabe'!$D$24),IF(B13="Hauptsaison",IF(C13="Wochenende",'00_Eingabe'!$E$25,'00_Eingabe'!$D$25),IF(B13="Weihnachten",IF(C13="Wochenende",'00_Eingabe'!$E$26,'00_Eingabe'!$D$26),IF(C13="Wochenende",'00_Eingabe'!$E$27,'00_Eingabe'!$D$27))))))</x:f>
        <x:v>0.7</x:v>
      </x:c>
      <x:c r="H13" s="122" t="n">
        <x:f>IF(OR(A13="",G13=""),"",ROUND('00_Eingabe'!$B$9*G13,0))</x:f>
        <x:v>3</x:v>
      </x:c>
      <x:c r="I13" s="122" t="n">
        <x:f>IF(H13="","",ROUND(H13*'00_Eingabe'!$B$19,0))</x:f>
        <x:v>7</x:v>
      </x:c>
      <x:c r="J13" s="122" t="n">
        <x:f>IF(OR(F13="",I13=""),"",F13+I13)</x:f>
        <x:v>55</x:v>
      </x:c>
      <x:c r="K13" s="122" t="n">
        <x:f>IF(J13="","",ROUND(J13*'00_Eingabe'!$B$16*(1+'00_Eingabe'!$B$14),0))</x:f>
        <x:v>63</x:v>
      </x:c>
      <x:c r="L13" s="122" t="n">
        <x:f>IF(B13="Betriebsferien",0,ROUND(J13*'00_Eingabe'!$B$40,0)+IF(C13="Wochenende",'00_Eingabe'!$B$42,'00_Eingabe'!$B$41))</x:f>
        <x:v>55</x:v>
      </x:c>
      <x:c r="M13" s="123" t="n">
        <x:f>IF(J13="","",ROUND(J13*'00_Eingabe'!$B$17*(1+'00_Eingabe'!$B$15),0))</x:f>
        <x:v>63</x:v>
      </x:c>
      <x:c r="N13" s="106"/>
      <x:c r="O13" s="106"/>
      <x:c r="P13" s="116"/>
      <x:c r="Q13" s="213" t="n">
        <x:f>IF(C13="Wochenende",1,0)</x:f>
        <x:v>0</x:v>
      </x:c>
      <x:c r="R13" s="213" t="n">
        <x:f>IF(AND(B13&lt;&gt;"Betriebsferien",OR(WEEKDAY(A13,2)=2,WEEKDAY(A13,2)=4)),1,0)</x:f>
        <x:v>0</x:v>
      </x:c>
      <x:c r="S13" s="214" t="n">
        <x:f>R13*MIN(1,'00_Eingabe'!$B$62/'00_Eingabe'!$B$61)</x:f>
        <x:v>0</x:v>
      </x:c>
      <x:c r="T13" s="213" t="n">
        <x:f>IF(B13="Betriebsferien",0,IF(B13="Nebensaison",IF(OR(WEEKDAY(A13,2)=1,WEEKDAY(A13,2)=3,WEEKDAY(A13,2)=5),1,0),IF(C13="Unterwoche",1,0)))</x:f>
        <x:v>1</x:v>
      </x:c>
      <x:c r="U13" s="213" t="n">
        <x:f>IF(B13="Betriebsferien",0,'00_Eingabe'!$G$24)</x:f>
        <x:v>8</x:v>
      </x:c>
    </x:row>
    <x:row r="14">
      <x:c r="A14" s="121" t="n">
        <x:f>IF(ROW()-4&lt;DATE('00_Eingabe'!$B$7+1,1,1)-DATE('00_Eingabe'!$B$7,1,1),DATE('00_Eingabe'!$B$7,1,1)+ROW()-4,"")</x:f>
        <x:v>45668</x:v>
      </x:c>
      <x:c r="B14" s="122" t="str">
        <x:f>IF(A14="","",IF(OR(AND(MONTH(A14)=12,DAY(A14)&gt;=20),AND(MONTH(A14)=1,DAY(A14)&lt;=2)),"Weihnachten",IF(OR(AND(MONTH(A14)=11,DAY(A14)&gt;=24),AND(MONTH(A14)=12,DAY(A14)&lt;=7)),"Betriebsferien",IF(OR(AND(MONTH(A14)=1,DAY(A14)&gt;=3),MONTH(A14)=2,MONTH(A14)=3,MONTH(A14)=4,MONTH(A14)=10,MONTH(A14)=11,AND(MONTH(A14)=12,DAY(A14)&lt;=15)),"Nebensaison","Hauptsaison"))))</x:f>
        <x:v>Nebensaison</x:v>
      </x:c>
      <x:c r="C14" s="122" t="str">
        <x:f>IF(A14="","",IF(WEEKDAY(A14,2)&gt;=6,"Wochenende","Unterwoche"))</x:f>
        <x:v>Wochenende</x:v>
      </x:c>
      <x:c r="D14" s="123" t="n">
        <x:f>IF(A14="","",IF(N14&lt;&gt;"",N14,IF(B14="Nebensaison",IF(C14="Wochenende",'00_Eingabe'!$C$24,'00_Eingabe'!$B$24),IF(B14="Hauptsaison",IF(C14="Wochenende",'00_Eingabe'!$C$25,'00_Eingabe'!$B$25),IF(B14="Weihnachten",IF(C14="Wochenende",'00_Eingabe'!$C$26,'00_Eingabe'!$B$26),IF(C14="Wochenende",'00_Eingabe'!$C$27,'00_Eingabe'!$B$27))))))</x:f>
        <x:v>0.75</x:v>
      </x:c>
      <x:c r="E14" s="122" t="n">
        <x:f>IF(OR(A14="",D14=""),"",ROUND('00_Eingabe'!$B$8*D14,0))</x:f>
        <x:v>26</x:v>
      </x:c>
      <x:c r="F14" s="122" t="n">
        <x:f>IF(E14="","",ROUND(E14*'00_Eingabe'!$B$18,0))</x:f>
        <x:v>49</x:v>
      </x:c>
      <x:c r="G14" s="123" t="n">
        <x:f>IF(A14="","",IF(O14&lt;&gt;"",O14,IF(B14="Nebensaison",IF(C14="Wochenende",'00_Eingabe'!$E$24,'00_Eingabe'!$D$24),IF(B14="Hauptsaison",IF(C14="Wochenende",'00_Eingabe'!$E$25,'00_Eingabe'!$D$25),IF(B14="Weihnachten",IF(C14="Wochenende",'00_Eingabe'!$E$26,'00_Eingabe'!$D$26),IF(C14="Wochenende",'00_Eingabe'!$E$27,'00_Eingabe'!$D$27))))))</x:f>
        <x:v>0.75</x:v>
      </x:c>
      <x:c r="H14" s="122" t="n">
        <x:f>IF(OR(A14="",G14=""),"",ROUND('00_Eingabe'!$B$9*G14,0))</x:f>
        <x:v>3</x:v>
      </x:c>
      <x:c r="I14" s="122" t="n">
        <x:f>IF(H14="","",ROUND(H14*'00_Eingabe'!$B$19,0))</x:f>
        <x:v>7</x:v>
      </x:c>
      <x:c r="J14" s="122" t="n">
        <x:f>IF(OR(F14="",I14=""),"",F14+I14)</x:f>
        <x:v>56</x:v>
      </x:c>
      <x:c r="K14" s="122" t="n">
        <x:f>IF(J14="","",ROUND(J14*'00_Eingabe'!$B$16*(1+'00_Eingabe'!$B$14),0))</x:f>
        <x:v>64</x:v>
      </x:c>
      <x:c r="L14" s="122" t="n">
        <x:f>IF(B14="Betriebsferien",0,ROUND(J14*'00_Eingabe'!$B$40,0)+IF(C14="Wochenende",'00_Eingabe'!$B$42,'00_Eingabe'!$B$41))</x:f>
        <x:v>80</x:v>
      </x:c>
      <x:c r="M14" s="123" t="n">
        <x:f>IF(J14="","",ROUND(J14*'00_Eingabe'!$B$17*(1+'00_Eingabe'!$B$15),0))</x:f>
        <x:v>64</x:v>
      </x:c>
      <x:c r="N14" s="106"/>
      <x:c r="O14" s="106"/>
      <x:c r="P14" s="116"/>
      <x:c r="Q14" s="213" t="n">
        <x:f>IF(C14="Wochenende",1,0)</x:f>
        <x:v>1</x:v>
      </x:c>
      <x:c r="R14" s="213" t="n">
        <x:f>IF(AND(B14&lt;&gt;"Betriebsferien",OR(WEEKDAY(A14,2)=2,WEEKDAY(A14,2)=4)),1,0)</x:f>
        <x:v>0</x:v>
      </x:c>
      <x:c r="S14" s="214" t="n">
        <x:f>R14*MIN(1,'00_Eingabe'!$B$62/'00_Eingabe'!$B$61)</x:f>
        <x:v>0</x:v>
      </x:c>
      <x:c r="T14" s="213" t="n">
        <x:f>IF(B14="Betriebsferien",0,IF(B14="Nebensaison",IF(OR(WEEKDAY(A14,2)=1,WEEKDAY(A14,2)=3,WEEKDAY(A14,2)=5),1,0),IF(C14="Unterwoche",1,0)))</x:f>
        <x:v>0</x:v>
      </x:c>
      <x:c r="U14" s="213" t="n">
        <x:f>IF(B14="Betriebsferien",0,'00_Eingabe'!$G$24)</x:f>
        <x:v>8</x:v>
      </x:c>
    </x:row>
    <x:row r="15">
      <x:c r="A15" s="121" t="n">
        <x:f>IF(ROW()-4&lt;DATE('00_Eingabe'!$B$7+1,1,1)-DATE('00_Eingabe'!$B$7,1,1),DATE('00_Eingabe'!$B$7,1,1)+ROW()-4,"")</x:f>
        <x:v>45669</x:v>
      </x:c>
      <x:c r="B15" s="122" t="str">
        <x:f>IF(A15="","",IF(OR(AND(MONTH(A15)=12,DAY(A15)&gt;=20),AND(MONTH(A15)=1,DAY(A15)&lt;=2)),"Weihnachten",IF(OR(AND(MONTH(A15)=11,DAY(A15)&gt;=24),AND(MONTH(A15)=12,DAY(A15)&lt;=7)),"Betriebsferien",IF(OR(AND(MONTH(A15)=1,DAY(A15)&gt;=3),MONTH(A15)=2,MONTH(A15)=3,MONTH(A15)=4,MONTH(A15)=10,MONTH(A15)=11,AND(MONTH(A15)=12,DAY(A15)&lt;=15)),"Nebensaison","Hauptsaison"))))</x:f>
        <x:v>Nebensaison</x:v>
      </x:c>
      <x:c r="C15" s="122" t="str">
        <x:f>IF(A15="","",IF(WEEKDAY(A15,2)&gt;=6,"Wochenende","Unterwoche"))</x:f>
        <x:v>Wochenende</x:v>
      </x:c>
      <x:c r="D15" s="123" t="n">
        <x:f>IF(A15="","",IF(N15&lt;&gt;"",N15,IF(B15="Nebensaison",IF(C15="Wochenende",'00_Eingabe'!$C$24,'00_Eingabe'!$B$24),IF(B15="Hauptsaison",IF(C15="Wochenende",'00_Eingabe'!$C$25,'00_Eingabe'!$B$25),IF(B15="Weihnachten",IF(C15="Wochenende",'00_Eingabe'!$C$26,'00_Eingabe'!$B$26),IF(C15="Wochenende",'00_Eingabe'!$C$27,'00_Eingabe'!$B$27))))))</x:f>
        <x:v>0.75</x:v>
      </x:c>
      <x:c r="E15" s="122" t="n">
        <x:f>IF(OR(A15="",D15=""),"",ROUND('00_Eingabe'!$B$8*D15,0))</x:f>
        <x:v>26</x:v>
      </x:c>
      <x:c r="F15" s="122" t="n">
        <x:f>IF(E15="","",ROUND(E15*'00_Eingabe'!$B$18,0))</x:f>
        <x:v>49</x:v>
      </x:c>
      <x:c r="G15" s="123" t="n">
        <x:f>IF(A15="","",IF(O15&lt;&gt;"",O15,IF(B15="Nebensaison",IF(C15="Wochenende",'00_Eingabe'!$E$24,'00_Eingabe'!$D$24),IF(B15="Hauptsaison",IF(C15="Wochenende",'00_Eingabe'!$E$25,'00_Eingabe'!$D$25),IF(B15="Weihnachten",IF(C15="Wochenende",'00_Eingabe'!$E$26,'00_Eingabe'!$D$26),IF(C15="Wochenende",'00_Eingabe'!$E$27,'00_Eingabe'!$D$27))))))</x:f>
        <x:v>0.75</x:v>
      </x:c>
      <x:c r="H15" s="122" t="n">
        <x:f>IF(OR(A15="",G15=""),"",ROUND('00_Eingabe'!$B$9*G15,0))</x:f>
        <x:v>3</x:v>
      </x:c>
      <x:c r="I15" s="122" t="n">
        <x:f>IF(H15="","",ROUND(H15*'00_Eingabe'!$B$19,0))</x:f>
        <x:v>7</x:v>
      </x:c>
      <x:c r="J15" s="122" t="n">
        <x:f>IF(OR(F15="",I15=""),"",F15+I15)</x:f>
        <x:v>56</x:v>
      </x:c>
      <x:c r="K15" s="122" t="n">
        <x:f>IF(J15="","",ROUND(J15*'00_Eingabe'!$B$16*(1+'00_Eingabe'!$B$14),0))</x:f>
        <x:v>64</x:v>
      </x:c>
      <x:c r="L15" s="122" t="n">
        <x:f>IF(B15="Betriebsferien",0,ROUND(J15*'00_Eingabe'!$B$40,0)+IF(C15="Wochenende",'00_Eingabe'!$B$42,'00_Eingabe'!$B$41))</x:f>
        <x:v>80</x:v>
      </x:c>
      <x:c r="M15" s="123" t="n">
        <x:f>IF(J15="","",ROUND(J15*'00_Eingabe'!$B$17*(1+'00_Eingabe'!$B$15),0))</x:f>
        <x:v>64</x:v>
      </x:c>
      <x:c r="N15" s="106"/>
      <x:c r="O15" s="106"/>
      <x:c r="P15" s="116"/>
      <x:c r="Q15" s="213" t="n">
        <x:f>IF(C15="Wochenende",1,0)</x:f>
        <x:v>1</x:v>
      </x:c>
      <x:c r="R15" s="213" t="n">
        <x:f>IF(AND(B15&lt;&gt;"Betriebsferien",OR(WEEKDAY(A15,2)=2,WEEKDAY(A15,2)=4)),1,0)</x:f>
        <x:v>0</x:v>
      </x:c>
      <x:c r="S15" s="214" t="n">
        <x:f>R15*MIN(1,'00_Eingabe'!$B$62/'00_Eingabe'!$B$61)</x:f>
        <x:v>0</x:v>
      </x:c>
      <x:c r="T15" s="213" t="n">
        <x:f>IF(B15="Betriebsferien",0,IF(B15="Nebensaison",IF(OR(WEEKDAY(A15,2)=1,WEEKDAY(A15,2)=3,WEEKDAY(A15,2)=5),1,0),IF(C15="Unterwoche",1,0)))</x:f>
        <x:v>0</x:v>
      </x:c>
      <x:c r="U15" s="213" t="n">
        <x:f>IF(B15="Betriebsferien",0,'00_Eingabe'!$G$24)</x:f>
        <x:v>8</x:v>
      </x:c>
    </x:row>
    <x:row r="16">
      <x:c r="A16" s="121" t="n">
        <x:f>IF(ROW()-4&lt;DATE('00_Eingabe'!$B$7+1,1,1)-DATE('00_Eingabe'!$B$7,1,1),DATE('00_Eingabe'!$B$7,1,1)+ROW()-4,"")</x:f>
        <x:v>45670</x:v>
      </x:c>
      <x:c r="B16" s="122" t="str">
        <x:f>IF(A16="","",IF(OR(AND(MONTH(A16)=12,DAY(A16)&gt;=20),AND(MONTH(A16)=1,DAY(A16)&lt;=2)),"Weihnachten",IF(OR(AND(MONTH(A16)=11,DAY(A16)&gt;=24),AND(MONTH(A16)=12,DAY(A16)&lt;=7)),"Betriebsferien",IF(OR(AND(MONTH(A16)=1,DAY(A16)&gt;=3),MONTH(A16)=2,MONTH(A16)=3,MONTH(A16)=4,MONTH(A16)=10,MONTH(A16)=11,AND(MONTH(A16)=12,DAY(A16)&lt;=15)),"Nebensaison","Hauptsaison"))))</x:f>
        <x:v>Nebensaison</x:v>
      </x:c>
      <x:c r="C16" s="122" t="str">
        <x:f>IF(A16="","",IF(WEEKDAY(A16,2)&gt;=6,"Wochenende","Unterwoche"))</x:f>
        <x:v>Unterwoche</x:v>
      </x:c>
      <x:c r="D16" s="123" t="n">
        <x:f>IF(A16="","",IF(N16&lt;&gt;"",N16,IF(B16="Nebensaison",IF(C16="Wochenende",'00_Eingabe'!$C$24,'00_Eingabe'!$B$24),IF(B16="Hauptsaison",IF(C16="Wochenende",'00_Eingabe'!$C$25,'00_Eingabe'!$B$25),IF(B16="Weihnachten",IF(C16="Wochenende",'00_Eingabe'!$C$26,'00_Eingabe'!$B$26),IF(C16="Wochenende",'00_Eingabe'!$C$27,'00_Eingabe'!$B$27))))))</x:f>
        <x:v>0.7</x:v>
      </x:c>
      <x:c r="E16" s="122" t="n">
        <x:f>IF(OR(A16="",D16=""),"",ROUND('00_Eingabe'!$B$8*D16,0))</x:f>
        <x:v>25</x:v>
      </x:c>
      <x:c r="F16" s="122" t="n">
        <x:f>IF(E16="","",ROUND(E16*'00_Eingabe'!$B$18,0))</x:f>
        <x:v>48</x:v>
      </x:c>
      <x:c r="G16" s="123" t="n">
        <x:f>IF(A16="","",IF(O16&lt;&gt;"",O16,IF(B16="Nebensaison",IF(C16="Wochenende",'00_Eingabe'!$E$24,'00_Eingabe'!$D$24),IF(B16="Hauptsaison",IF(C16="Wochenende",'00_Eingabe'!$E$25,'00_Eingabe'!$D$25),IF(B16="Weihnachten",IF(C16="Wochenende",'00_Eingabe'!$E$26,'00_Eingabe'!$D$26),IF(C16="Wochenende",'00_Eingabe'!$E$27,'00_Eingabe'!$D$27))))))</x:f>
        <x:v>0.7</x:v>
      </x:c>
      <x:c r="H16" s="122" t="n">
        <x:f>IF(OR(A16="",G16=""),"",ROUND('00_Eingabe'!$B$9*G16,0))</x:f>
        <x:v>3</x:v>
      </x:c>
      <x:c r="I16" s="122" t="n">
        <x:f>IF(H16="","",ROUND(H16*'00_Eingabe'!$B$19,0))</x:f>
        <x:v>7</x:v>
      </x:c>
      <x:c r="J16" s="122" t="n">
        <x:f>IF(OR(F16="",I16=""),"",F16+I16)</x:f>
        <x:v>55</x:v>
      </x:c>
      <x:c r="K16" s="122" t="n">
        <x:f>IF(J16="","",ROUND(J16*'00_Eingabe'!$B$16*(1+'00_Eingabe'!$B$14),0))</x:f>
        <x:v>63</x:v>
      </x:c>
      <x:c r="L16" s="122" t="n">
        <x:f>IF(B16="Betriebsferien",0,ROUND(J16*'00_Eingabe'!$B$40,0)+IF(C16="Wochenende",'00_Eingabe'!$B$42,'00_Eingabe'!$B$41))</x:f>
        <x:v>55</x:v>
      </x:c>
      <x:c r="M16" s="123" t="n">
        <x:f>IF(J16="","",ROUND(J16*'00_Eingabe'!$B$17*(1+'00_Eingabe'!$B$15),0))</x:f>
        <x:v>63</x:v>
      </x:c>
      <x:c r="N16" s="106"/>
      <x:c r="O16" s="106"/>
      <x:c r="P16" s="116"/>
      <x:c r="Q16" s="213" t="n">
        <x:f>IF(C16="Wochenende",1,0)</x:f>
        <x:v>0</x:v>
      </x:c>
      <x:c r="R16" s="213" t="n">
        <x:f>IF(AND(B16&lt;&gt;"Betriebsferien",OR(WEEKDAY(A16,2)=2,WEEKDAY(A16,2)=4)),1,0)</x:f>
        <x:v>0</x:v>
      </x:c>
      <x:c r="S16" s="214" t="n">
        <x:f>R16*MIN(1,'00_Eingabe'!$B$62/'00_Eingabe'!$B$61)</x:f>
        <x:v>0</x:v>
      </x:c>
      <x:c r="T16" s="213" t="n">
        <x:f>IF(B16="Betriebsferien",0,IF(B16="Nebensaison",IF(OR(WEEKDAY(A16,2)=1,WEEKDAY(A16,2)=3,WEEKDAY(A16,2)=5),1,0),IF(C16="Unterwoche",1,0)))</x:f>
        <x:v>1</x:v>
      </x:c>
      <x:c r="U16" s="213" t="n">
        <x:f>IF(B16="Betriebsferien",0,'00_Eingabe'!$G$24)</x:f>
        <x:v>8</x:v>
      </x:c>
    </x:row>
    <x:row r="17">
      <x:c r="A17" s="121" t="n">
        <x:f>IF(ROW()-4&lt;DATE('00_Eingabe'!$B$7+1,1,1)-DATE('00_Eingabe'!$B$7,1,1),DATE('00_Eingabe'!$B$7,1,1)+ROW()-4,"")</x:f>
        <x:v>45671</x:v>
      </x:c>
      <x:c r="B17" s="122" t="str">
        <x:f>IF(A17="","",IF(OR(AND(MONTH(A17)=12,DAY(A17)&gt;=20),AND(MONTH(A17)=1,DAY(A17)&lt;=2)),"Weihnachten",IF(OR(AND(MONTH(A17)=11,DAY(A17)&gt;=24),AND(MONTH(A17)=12,DAY(A17)&lt;=7)),"Betriebsferien",IF(OR(AND(MONTH(A17)=1,DAY(A17)&gt;=3),MONTH(A17)=2,MONTH(A17)=3,MONTH(A17)=4,MONTH(A17)=10,MONTH(A17)=11,AND(MONTH(A17)=12,DAY(A17)&lt;=15)),"Nebensaison","Hauptsaison"))))</x:f>
        <x:v>Nebensaison</x:v>
      </x:c>
      <x:c r="C17" s="122" t="str">
        <x:f>IF(A17="","",IF(WEEKDAY(A17,2)&gt;=6,"Wochenende","Unterwoche"))</x:f>
        <x:v>Unterwoche</x:v>
      </x:c>
      <x:c r="D17" s="123" t="n">
        <x:f>IF(A17="","",IF(N17&lt;&gt;"",N17,IF(B17="Nebensaison",IF(C17="Wochenende",'00_Eingabe'!$C$24,'00_Eingabe'!$B$24),IF(B17="Hauptsaison",IF(C17="Wochenende",'00_Eingabe'!$C$25,'00_Eingabe'!$B$25),IF(B17="Weihnachten",IF(C17="Wochenende",'00_Eingabe'!$C$26,'00_Eingabe'!$B$26),IF(C17="Wochenende",'00_Eingabe'!$C$27,'00_Eingabe'!$B$27))))))</x:f>
        <x:v>0.7</x:v>
      </x:c>
      <x:c r="E17" s="122" t="n">
        <x:f>IF(OR(A17="",D17=""),"",ROUND('00_Eingabe'!$B$8*D17,0))</x:f>
        <x:v>25</x:v>
      </x:c>
      <x:c r="F17" s="122" t="n">
        <x:f>IF(E17="","",ROUND(E17*'00_Eingabe'!$B$18,0))</x:f>
        <x:v>48</x:v>
      </x:c>
      <x:c r="G17" s="123" t="n">
        <x:f>IF(A17="","",IF(O17&lt;&gt;"",O17,IF(B17="Nebensaison",IF(C17="Wochenende",'00_Eingabe'!$E$24,'00_Eingabe'!$D$24),IF(B17="Hauptsaison",IF(C17="Wochenende",'00_Eingabe'!$E$25,'00_Eingabe'!$D$25),IF(B17="Weihnachten",IF(C17="Wochenende",'00_Eingabe'!$E$26,'00_Eingabe'!$D$26),IF(C17="Wochenende",'00_Eingabe'!$E$27,'00_Eingabe'!$D$27))))))</x:f>
        <x:v>0.7</x:v>
      </x:c>
      <x:c r="H17" s="122" t="n">
        <x:f>IF(OR(A17="",G17=""),"",ROUND('00_Eingabe'!$B$9*G17,0))</x:f>
        <x:v>3</x:v>
      </x:c>
      <x:c r="I17" s="122" t="n">
        <x:f>IF(H17="","",ROUND(H17*'00_Eingabe'!$B$19,0))</x:f>
        <x:v>7</x:v>
      </x:c>
      <x:c r="J17" s="122" t="n">
        <x:f>IF(OR(F17="",I17=""),"",F17+I17)</x:f>
        <x:v>55</x:v>
      </x:c>
      <x:c r="K17" s="122" t="n">
        <x:f>IF(J17="","",ROUND(J17*'00_Eingabe'!$B$16*(1+'00_Eingabe'!$B$14),0))</x:f>
        <x:v>63</x:v>
      </x:c>
      <x:c r="L17" s="122" t="n">
        <x:f>IF(B17="Betriebsferien",0,ROUND(J17*'00_Eingabe'!$B$40,0)+IF(C17="Wochenende",'00_Eingabe'!$B$42,'00_Eingabe'!$B$41))</x:f>
        <x:v>55</x:v>
      </x:c>
      <x:c r="M17" s="123" t="n">
        <x:f>IF(J17="","",ROUND(J17*'00_Eingabe'!$B$17*(1+'00_Eingabe'!$B$15),0))</x:f>
        <x:v>63</x:v>
      </x:c>
      <x:c r="N17" s="106"/>
      <x:c r="O17" s="106"/>
      <x:c r="P17" s="116"/>
      <x:c r="Q17" s="213" t="n">
        <x:f>IF(C17="Wochenende",1,0)</x:f>
        <x:v>0</x:v>
      </x:c>
      <x:c r="R17" s="213" t="n">
        <x:f>IF(AND(B17&lt;&gt;"Betriebsferien",OR(WEEKDAY(A17,2)=2,WEEKDAY(A17,2)=4)),1,0)</x:f>
        <x:v>1</x:v>
      </x:c>
      <x:c r="S17" s="214" t="n">
        <x:f>R17*MIN(1,'00_Eingabe'!$B$62/'00_Eingabe'!$B$61)</x:f>
        <x:v>0.5</x:v>
      </x:c>
      <x:c r="T17" s="213" t="n">
        <x:f>IF(B17="Betriebsferien",0,IF(B17="Nebensaison",IF(OR(WEEKDAY(A17,2)=1,WEEKDAY(A17,2)=3,WEEKDAY(A17,2)=5),1,0),IF(C17="Unterwoche",1,0)))</x:f>
        <x:v>0</x:v>
      </x:c>
      <x:c r="U17" s="213" t="n">
        <x:f>IF(B17="Betriebsferien",0,'00_Eingabe'!$G$24)</x:f>
        <x:v>8</x:v>
      </x:c>
    </x:row>
    <x:row r="18">
      <x:c r="A18" s="121" t="n">
        <x:f>IF(ROW()-4&lt;DATE('00_Eingabe'!$B$7+1,1,1)-DATE('00_Eingabe'!$B$7,1,1),DATE('00_Eingabe'!$B$7,1,1)+ROW()-4,"")</x:f>
        <x:v>45672</x:v>
      </x:c>
      <x:c r="B18" s="122" t="str">
        <x:f>IF(A18="","",IF(OR(AND(MONTH(A18)=12,DAY(A18)&gt;=20),AND(MONTH(A18)=1,DAY(A18)&lt;=2)),"Weihnachten",IF(OR(AND(MONTH(A18)=11,DAY(A18)&gt;=24),AND(MONTH(A18)=12,DAY(A18)&lt;=7)),"Betriebsferien",IF(OR(AND(MONTH(A18)=1,DAY(A18)&gt;=3),MONTH(A18)=2,MONTH(A18)=3,MONTH(A18)=4,MONTH(A18)=10,MONTH(A18)=11,AND(MONTH(A18)=12,DAY(A18)&lt;=15)),"Nebensaison","Hauptsaison"))))</x:f>
        <x:v>Nebensaison</x:v>
      </x:c>
      <x:c r="C18" s="122" t="str">
        <x:f>IF(A18="","",IF(WEEKDAY(A18,2)&gt;=6,"Wochenende","Unterwoche"))</x:f>
        <x:v>Unterwoche</x:v>
      </x:c>
      <x:c r="D18" s="123" t="n">
        <x:f>IF(A18="","",IF(N18&lt;&gt;"",N18,IF(B18="Nebensaison",IF(C18="Wochenende",'00_Eingabe'!$C$24,'00_Eingabe'!$B$24),IF(B18="Hauptsaison",IF(C18="Wochenende",'00_Eingabe'!$C$25,'00_Eingabe'!$B$25),IF(B18="Weihnachten",IF(C18="Wochenende",'00_Eingabe'!$C$26,'00_Eingabe'!$B$26),IF(C18="Wochenende",'00_Eingabe'!$C$27,'00_Eingabe'!$B$27))))))</x:f>
        <x:v>0.7</x:v>
      </x:c>
      <x:c r="E18" s="122" t="n">
        <x:f>IF(OR(A18="",D18=""),"",ROUND('00_Eingabe'!$B$8*D18,0))</x:f>
        <x:v>25</x:v>
      </x:c>
      <x:c r="F18" s="122" t="n">
        <x:f>IF(E18="","",ROUND(E18*'00_Eingabe'!$B$18,0))</x:f>
        <x:v>48</x:v>
      </x:c>
      <x:c r="G18" s="123" t="n">
        <x:f>IF(A18="","",IF(O18&lt;&gt;"",O18,IF(B18="Nebensaison",IF(C18="Wochenende",'00_Eingabe'!$E$24,'00_Eingabe'!$D$24),IF(B18="Hauptsaison",IF(C18="Wochenende",'00_Eingabe'!$E$25,'00_Eingabe'!$D$25),IF(B18="Weihnachten",IF(C18="Wochenende",'00_Eingabe'!$E$26,'00_Eingabe'!$D$26),IF(C18="Wochenende",'00_Eingabe'!$E$27,'00_Eingabe'!$D$27))))))</x:f>
        <x:v>0.7</x:v>
      </x:c>
      <x:c r="H18" s="122" t="n">
        <x:f>IF(OR(A18="",G18=""),"",ROUND('00_Eingabe'!$B$9*G18,0))</x:f>
        <x:v>3</x:v>
      </x:c>
      <x:c r="I18" s="122" t="n">
        <x:f>IF(H18="","",ROUND(H18*'00_Eingabe'!$B$19,0))</x:f>
        <x:v>7</x:v>
      </x:c>
      <x:c r="J18" s="122" t="n">
        <x:f>IF(OR(F18="",I18=""),"",F18+I18)</x:f>
        <x:v>55</x:v>
      </x:c>
      <x:c r="K18" s="122" t="n">
        <x:f>IF(J18="","",ROUND(J18*'00_Eingabe'!$B$16*(1+'00_Eingabe'!$B$14),0))</x:f>
        <x:v>63</x:v>
      </x:c>
      <x:c r="L18" s="122" t="n">
        <x:f>IF(B18="Betriebsferien",0,ROUND(J18*'00_Eingabe'!$B$40,0)+IF(C18="Wochenende",'00_Eingabe'!$B$42,'00_Eingabe'!$B$41))</x:f>
        <x:v>55</x:v>
      </x:c>
      <x:c r="M18" s="123" t="n">
        <x:f>IF(J18="","",ROUND(J18*'00_Eingabe'!$B$17*(1+'00_Eingabe'!$B$15),0))</x:f>
        <x:v>63</x:v>
      </x:c>
      <x:c r="N18" s="106"/>
      <x:c r="O18" s="106"/>
      <x:c r="P18" s="116"/>
      <x:c r="Q18" s="213" t="n">
        <x:f>IF(C18="Wochenende",1,0)</x:f>
        <x:v>0</x:v>
      </x:c>
      <x:c r="R18" s="213" t="n">
        <x:f>IF(AND(B18&lt;&gt;"Betriebsferien",OR(WEEKDAY(A18,2)=2,WEEKDAY(A18,2)=4)),1,0)</x:f>
        <x:v>0</x:v>
      </x:c>
      <x:c r="S18" s="214" t="n">
        <x:f>R18*MIN(1,'00_Eingabe'!$B$62/'00_Eingabe'!$B$61)</x:f>
        <x:v>0</x:v>
      </x:c>
      <x:c r="T18" s="213" t="n">
        <x:f>IF(B18="Betriebsferien",0,IF(B18="Nebensaison",IF(OR(WEEKDAY(A18,2)=1,WEEKDAY(A18,2)=3,WEEKDAY(A18,2)=5),1,0),IF(C18="Unterwoche",1,0)))</x:f>
        <x:v>1</x:v>
      </x:c>
      <x:c r="U18" s="213" t="n">
        <x:f>IF(B18="Betriebsferien",0,'00_Eingabe'!$G$24)</x:f>
        <x:v>8</x:v>
      </x:c>
    </x:row>
    <x:row r="19">
      <x:c r="A19" s="121" t="n">
        <x:f>IF(ROW()-4&lt;DATE('00_Eingabe'!$B$7+1,1,1)-DATE('00_Eingabe'!$B$7,1,1),DATE('00_Eingabe'!$B$7,1,1)+ROW()-4,"")</x:f>
        <x:v>45673</x:v>
      </x:c>
      <x:c r="B19" s="122" t="str">
        <x:f>IF(A19="","",IF(OR(AND(MONTH(A19)=12,DAY(A19)&gt;=20),AND(MONTH(A19)=1,DAY(A19)&lt;=2)),"Weihnachten",IF(OR(AND(MONTH(A19)=11,DAY(A19)&gt;=24),AND(MONTH(A19)=12,DAY(A19)&lt;=7)),"Betriebsferien",IF(OR(AND(MONTH(A19)=1,DAY(A19)&gt;=3),MONTH(A19)=2,MONTH(A19)=3,MONTH(A19)=4,MONTH(A19)=10,MONTH(A19)=11,AND(MONTH(A19)=12,DAY(A19)&lt;=15)),"Nebensaison","Hauptsaison"))))</x:f>
        <x:v>Nebensaison</x:v>
      </x:c>
      <x:c r="C19" s="122" t="str">
        <x:f>IF(A19="","",IF(WEEKDAY(A19,2)&gt;=6,"Wochenende","Unterwoche"))</x:f>
        <x:v>Unterwoche</x:v>
      </x:c>
      <x:c r="D19" s="123" t="n">
        <x:f>IF(A19="","",IF(N19&lt;&gt;"",N19,IF(B19="Nebensaison",IF(C19="Wochenende",'00_Eingabe'!$C$24,'00_Eingabe'!$B$24),IF(B19="Hauptsaison",IF(C19="Wochenende",'00_Eingabe'!$C$25,'00_Eingabe'!$B$25),IF(B19="Weihnachten",IF(C19="Wochenende",'00_Eingabe'!$C$26,'00_Eingabe'!$B$26),IF(C19="Wochenende",'00_Eingabe'!$C$27,'00_Eingabe'!$B$27))))))</x:f>
        <x:v>0.7</x:v>
      </x:c>
      <x:c r="E19" s="122" t="n">
        <x:f>IF(OR(A19="",D19=""),"",ROUND('00_Eingabe'!$B$8*D19,0))</x:f>
        <x:v>25</x:v>
      </x:c>
      <x:c r="F19" s="122" t="n">
        <x:f>IF(E19="","",ROUND(E19*'00_Eingabe'!$B$18,0))</x:f>
        <x:v>48</x:v>
      </x:c>
      <x:c r="G19" s="123" t="n">
        <x:f>IF(A19="","",IF(O19&lt;&gt;"",O19,IF(B19="Nebensaison",IF(C19="Wochenende",'00_Eingabe'!$E$24,'00_Eingabe'!$D$24),IF(B19="Hauptsaison",IF(C19="Wochenende",'00_Eingabe'!$E$25,'00_Eingabe'!$D$25),IF(B19="Weihnachten",IF(C19="Wochenende",'00_Eingabe'!$E$26,'00_Eingabe'!$D$26),IF(C19="Wochenende",'00_Eingabe'!$E$27,'00_Eingabe'!$D$27))))))</x:f>
        <x:v>0.7</x:v>
      </x:c>
      <x:c r="H19" s="122" t="n">
        <x:f>IF(OR(A19="",G19=""),"",ROUND('00_Eingabe'!$B$9*G19,0))</x:f>
        <x:v>3</x:v>
      </x:c>
      <x:c r="I19" s="122" t="n">
        <x:f>IF(H19="","",ROUND(H19*'00_Eingabe'!$B$19,0))</x:f>
        <x:v>7</x:v>
      </x:c>
      <x:c r="J19" s="122" t="n">
        <x:f>IF(OR(F19="",I19=""),"",F19+I19)</x:f>
        <x:v>55</x:v>
      </x:c>
      <x:c r="K19" s="122" t="n">
        <x:f>IF(J19="","",ROUND(J19*'00_Eingabe'!$B$16*(1+'00_Eingabe'!$B$14),0))</x:f>
        <x:v>63</x:v>
      </x:c>
      <x:c r="L19" s="122" t="n">
        <x:f>IF(B19="Betriebsferien",0,ROUND(J19*'00_Eingabe'!$B$40,0)+IF(C19="Wochenende",'00_Eingabe'!$B$42,'00_Eingabe'!$B$41))</x:f>
        <x:v>55</x:v>
      </x:c>
      <x:c r="M19" s="123" t="n">
        <x:f>IF(J19="","",ROUND(J19*'00_Eingabe'!$B$17*(1+'00_Eingabe'!$B$15),0))</x:f>
        <x:v>63</x:v>
      </x:c>
      <x:c r="N19" s="106"/>
      <x:c r="O19" s="106"/>
      <x:c r="P19" s="116"/>
      <x:c r="Q19" s="213" t="n">
        <x:f>IF(C19="Wochenende",1,0)</x:f>
        <x:v>0</x:v>
      </x:c>
      <x:c r="R19" s="213" t="n">
        <x:f>IF(AND(B19&lt;&gt;"Betriebsferien",OR(WEEKDAY(A19,2)=2,WEEKDAY(A19,2)=4)),1,0)</x:f>
        <x:v>1</x:v>
      </x:c>
      <x:c r="S19" s="214" t="n">
        <x:f>R19*MIN(1,'00_Eingabe'!$B$62/'00_Eingabe'!$B$61)</x:f>
        <x:v>0.5</x:v>
      </x:c>
      <x:c r="T19" s="213" t="n">
        <x:f>IF(B19="Betriebsferien",0,IF(B19="Nebensaison",IF(OR(WEEKDAY(A19,2)=1,WEEKDAY(A19,2)=3,WEEKDAY(A19,2)=5),1,0),IF(C19="Unterwoche",1,0)))</x:f>
        <x:v>0</x:v>
      </x:c>
      <x:c r="U19" s="213" t="n">
        <x:f>IF(B19="Betriebsferien",0,'00_Eingabe'!$G$24)</x:f>
        <x:v>8</x:v>
      </x:c>
    </x:row>
    <x:row r="20">
      <x:c r="A20" s="121" t="n">
        <x:f>IF(ROW()-4&lt;DATE('00_Eingabe'!$B$7+1,1,1)-DATE('00_Eingabe'!$B$7,1,1),DATE('00_Eingabe'!$B$7,1,1)+ROW()-4,"")</x:f>
        <x:v>45674</x:v>
      </x:c>
      <x:c r="B20" s="122" t="str">
        <x:f>IF(A20="","",IF(OR(AND(MONTH(A20)=12,DAY(A20)&gt;=20),AND(MONTH(A20)=1,DAY(A20)&lt;=2)),"Weihnachten",IF(OR(AND(MONTH(A20)=11,DAY(A20)&gt;=24),AND(MONTH(A20)=12,DAY(A20)&lt;=7)),"Betriebsferien",IF(OR(AND(MONTH(A20)=1,DAY(A20)&gt;=3),MONTH(A20)=2,MONTH(A20)=3,MONTH(A20)=4,MONTH(A20)=10,MONTH(A20)=11,AND(MONTH(A20)=12,DAY(A20)&lt;=15)),"Nebensaison","Hauptsaison"))))</x:f>
        <x:v>Nebensaison</x:v>
      </x:c>
      <x:c r="C20" s="122" t="str">
        <x:f>IF(A20="","",IF(WEEKDAY(A20,2)&gt;=6,"Wochenende","Unterwoche"))</x:f>
        <x:v>Unterwoche</x:v>
      </x:c>
      <x:c r="D20" s="123" t="n">
        <x:f>IF(A20="","",IF(N20&lt;&gt;"",N20,IF(B20="Nebensaison",IF(C20="Wochenende",'00_Eingabe'!$C$24,'00_Eingabe'!$B$24),IF(B20="Hauptsaison",IF(C20="Wochenende",'00_Eingabe'!$C$25,'00_Eingabe'!$B$25),IF(B20="Weihnachten",IF(C20="Wochenende",'00_Eingabe'!$C$26,'00_Eingabe'!$B$26),IF(C20="Wochenende",'00_Eingabe'!$C$27,'00_Eingabe'!$B$27))))))</x:f>
        <x:v>0.7</x:v>
      </x:c>
      <x:c r="E20" s="122" t="n">
        <x:f>IF(OR(A20="",D20=""),"",ROUND('00_Eingabe'!$B$8*D20,0))</x:f>
        <x:v>25</x:v>
      </x:c>
      <x:c r="F20" s="122" t="n">
        <x:f>IF(E20="","",ROUND(E20*'00_Eingabe'!$B$18,0))</x:f>
        <x:v>48</x:v>
      </x:c>
      <x:c r="G20" s="123" t="n">
        <x:f>IF(A20="","",IF(O20&lt;&gt;"",O20,IF(B20="Nebensaison",IF(C20="Wochenende",'00_Eingabe'!$E$24,'00_Eingabe'!$D$24),IF(B20="Hauptsaison",IF(C20="Wochenende",'00_Eingabe'!$E$25,'00_Eingabe'!$D$25),IF(B20="Weihnachten",IF(C20="Wochenende",'00_Eingabe'!$E$26,'00_Eingabe'!$D$26),IF(C20="Wochenende",'00_Eingabe'!$E$27,'00_Eingabe'!$D$27))))))</x:f>
        <x:v>0.7</x:v>
      </x:c>
      <x:c r="H20" s="122" t="n">
        <x:f>IF(OR(A20="",G20=""),"",ROUND('00_Eingabe'!$B$9*G20,0))</x:f>
        <x:v>3</x:v>
      </x:c>
      <x:c r="I20" s="122" t="n">
        <x:f>IF(H20="","",ROUND(H20*'00_Eingabe'!$B$19,0))</x:f>
        <x:v>7</x:v>
      </x:c>
      <x:c r="J20" s="122" t="n">
        <x:f>IF(OR(F20="",I20=""),"",F20+I20)</x:f>
        <x:v>55</x:v>
      </x:c>
      <x:c r="K20" s="122" t="n">
        <x:f>IF(J20="","",ROUND(J20*'00_Eingabe'!$B$16*(1+'00_Eingabe'!$B$14),0))</x:f>
        <x:v>63</x:v>
      </x:c>
      <x:c r="L20" s="122" t="n">
        <x:f>IF(B20="Betriebsferien",0,ROUND(J20*'00_Eingabe'!$B$40,0)+IF(C20="Wochenende",'00_Eingabe'!$B$42,'00_Eingabe'!$B$41))</x:f>
        <x:v>55</x:v>
      </x:c>
      <x:c r="M20" s="123" t="n">
        <x:f>IF(J20="","",ROUND(J20*'00_Eingabe'!$B$17*(1+'00_Eingabe'!$B$15),0))</x:f>
        <x:v>63</x:v>
      </x:c>
      <x:c r="N20" s="106"/>
      <x:c r="O20" s="106"/>
      <x:c r="P20" s="116"/>
      <x:c r="Q20" s="213" t="n">
        <x:f>IF(C20="Wochenende",1,0)</x:f>
        <x:v>0</x:v>
      </x:c>
      <x:c r="R20" s="213" t="n">
        <x:f>IF(AND(B20&lt;&gt;"Betriebsferien",OR(WEEKDAY(A20,2)=2,WEEKDAY(A20,2)=4)),1,0)</x:f>
        <x:v>0</x:v>
      </x:c>
      <x:c r="S20" s="214" t="n">
        <x:f>R20*MIN(1,'00_Eingabe'!$B$62/'00_Eingabe'!$B$61)</x:f>
        <x:v>0</x:v>
      </x:c>
      <x:c r="T20" s="213" t="n">
        <x:f>IF(B20="Betriebsferien",0,IF(B20="Nebensaison",IF(OR(WEEKDAY(A20,2)=1,WEEKDAY(A20,2)=3,WEEKDAY(A20,2)=5),1,0),IF(C20="Unterwoche",1,0)))</x:f>
        <x:v>1</x:v>
      </x:c>
      <x:c r="U20" s="213" t="n">
        <x:f>IF(B20="Betriebsferien",0,'00_Eingabe'!$G$24)</x:f>
        <x:v>8</x:v>
      </x:c>
    </x:row>
    <x:row r="21">
      <x:c r="A21" s="121" t="n">
        <x:f>IF(ROW()-4&lt;DATE('00_Eingabe'!$B$7+1,1,1)-DATE('00_Eingabe'!$B$7,1,1),DATE('00_Eingabe'!$B$7,1,1)+ROW()-4,"")</x:f>
        <x:v>45675</x:v>
      </x:c>
      <x:c r="B21" s="122" t="str">
        <x:f>IF(A21="","",IF(OR(AND(MONTH(A21)=12,DAY(A21)&gt;=20),AND(MONTH(A21)=1,DAY(A21)&lt;=2)),"Weihnachten",IF(OR(AND(MONTH(A21)=11,DAY(A21)&gt;=24),AND(MONTH(A21)=12,DAY(A21)&lt;=7)),"Betriebsferien",IF(OR(AND(MONTH(A21)=1,DAY(A21)&gt;=3),MONTH(A21)=2,MONTH(A21)=3,MONTH(A21)=4,MONTH(A21)=10,MONTH(A21)=11,AND(MONTH(A21)=12,DAY(A21)&lt;=15)),"Nebensaison","Hauptsaison"))))</x:f>
        <x:v>Nebensaison</x:v>
      </x:c>
      <x:c r="C21" s="122" t="str">
        <x:f>IF(A21="","",IF(WEEKDAY(A21,2)&gt;=6,"Wochenende","Unterwoche"))</x:f>
        <x:v>Wochenende</x:v>
      </x:c>
      <x:c r="D21" s="123" t="n">
        <x:f>IF(A21="","",IF(N21&lt;&gt;"",N21,IF(B21="Nebensaison",IF(C21="Wochenende",'00_Eingabe'!$C$24,'00_Eingabe'!$B$24),IF(B21="Hauptsaison",IF(C21="Wochenende",'00_Eingabe'!$C$25,'00_Eingabe'!$B$25),IF(B21="Weihnachten",IF(C21="Wochenende",'00_Eingabe'!$C$26,'00_Eingabe'!$B$26),IF(C21="Wochenende",'00_Eingabe'!$C$27,'00_Eingabe'!$B$27))))))</x:f>
        <x:v>0.75</x:v>
      </x:c>
      <x:c r="E21" s="122" t="n">
        <x:f>IF(OR(A21="",D21=""),"",ROUND('00_Eingabe'!$B$8*D21,0))</x:f>
        <x:v>26</x:v>
      </x:c>
      <x:c r="F21" s="122" t="n">
        <x:f>IF(E21="","",ROUND(E21*'00_Eingabe'!$B$18,0))</x:f>
        <x:v>49</x:v>
      </x:c>
      <x:c r="G21" s="123" t="n">
        <x:f>IF(A21="","",IF(O21&lt;&gt;"",O21,IF(B21="Nebensaison",IF(C21="Wochenende",'00_Eingabe'!$E$24,'00_Eingabe'!$D$24),IF(B21="Hauptsaison",IF(C21="Wochenende",'00_Eingabe'!$E$25,'00_Eingabe'!$D$25),IF(B21="Weihnachten",IF(C21="Wochenende",'00_Eingabe'!$E$26,'00_Eingabe'!$D$26),IF(C21="Wochenende",'00_Eingabe'!$E$27,'00_Eingabe'!$D$27))))))</x:f>
        <x:v>0.75</x:v>
      </x:c>
      <x:c r="H21" s="122" t="n">
        <x:f>IF(OR(A21="",G21=""),"",ROUND('00_Eingabe'!$B$9*G21,0))</x:f>
        <x:v>3</x:v>
      </x:c>
      <x:c r="I21" s="122" t="n">
        <x:f>IF(H21="","",ROUND(H21*'00_Eingabe'!$B$19,0))</x:f>
        <x:v>7</x:v>
      </x:c>
      <x:c r="J21" s="122" t="n">
        <x:f>IF(OR(F21="",I21=""),"",F21+I21)</x:f>
        <x:v>56</x:v>
      </x:c>
      <x:c r="K21" s="122" t="n">
        <x:f>IF(J21="","",ROUND(J21*'00_Eingabe'!$B$16*(1+'00_Eingabe'!$B$14),0))</x:f>
        <x:v>64</x:v>
      </x:c>
      <x:c r="L21" s="122" t="n">
        <x:f>IF(B21="Betriebsferien",0,ROUND(J21*'00_Eingabe'!$B$40,0)+IF(C21="Wochenende",'00_Eingabe'!$B$42,'00_Eingabe'!$B$41))</x:f>
        <x:v>80</x:v>
      </x:c>
      <x:c r="M21" s="123" t="n">
        <x:f>IF(J21="","",ROUND(J21*'00_Eingabe'!$B$17*(1+'00_Eingabe'!$B$15),0))</x:f>
        <x:v>64</x:v>
      </x:c>
      <x:c r="N21" s="106"/>
      <x:c r="O21" s="106"/>
      <x:c r="P21" s="116"/>
      <x:c r="Q21" s="213" t="n">
        <x:f>IF(C21="Wochenende",1,0)</x:f>
        <x:v>1</x:v>
      </x:c>
      <x:c r="R21" s="213" t="n">
        <x:f>IF(AND(B21&lt;&gt;"Betriebsferien",OR(WEEKDAY(A21,2)=2,WEEKDAY(A21,2)=4)),1,0)</x:f>
        <x:v>0</x:v>
      </x:c>
      <x:c r="S21" s="214" t="n">
        <x:f>R21*MIN(1,'00_Eingabe'!$B$62/'00_Eingabe'!$B$61)</x:f>
        <x:v>0</x:v>
      </x:c>
      <x:c r="T21" s="213" t="n">
        <x:f>IF(B21="Betriebsferien",0,IF(B21="Nebensaison",IF(OR(WEEKDAY(A21,2)=1,WEEKDAY(A21,2)=3,WEEKDAY(A21,2)=5),1,0),IF(C21="Unterwoche",1,0)))</x:f>
        <x:v>0</x:v>
      </x:c>
      <x:c r="U21" s="213" t="n">
        <x:f>IF(B21="Betriebsferien",0,'00_Eingabe'!$G$24)</x:f>
        <x:v>8</x:v>
      </x:c>
    </x:row>
    <x:row r="22">
      <x:c r="A22" s="121" t="n">
        <x:f>IF(ROW()-4&lt;DATE('00_Eingabe'!$B$7+1,1,1)-DATE('00_Eingabe'!$B$7,1,1),DATE('00_Eingabe'!$B$7,1,1)+ROW()-4,"")</x:f>
        <x:v>45676</x:v>
      </x:c>
      <x:c r="B22" s="122" t="str">
        <x:f>IF(A22="","",IF(OR(AND(MONTH(A22)=12,DAY(A22)&gt;=20),AND(MONTH(A22)=1,DAY(A22)&lt;=2)),"Weihnachten",IF(OR(AND(MONTH(A22)=11,DAY(A22)&gt;=24),AND(MONTH(A22)=12,DAY(A22)&lt;=7)),"Betriebsferien",IF(OR(AND(MONTH(A22)=1,DAY(A22)&gt;=3),MONTH(A22)=2,MONTH(A22)=3,MONTH(A22)=4,MONTH(A22)=10,MONTH(A22)=11,AND(MONTH(A22)=12,DAY(A22)&lt;=15)),"Nebensaison","Hauptsaison"))))</x:f>
        <x:v>Nebensaison</x:v>
      </x:c>
      <x:c r="C22" s="122" t="str">
        <x:f>IF(A22="","",IF(WEEKDAY(A22,2)&gt;=6,"Wochenende","Unterwoche"))</x:f>
        <x:v>Wochenende</x:v>
      </x:c>
      <x:c r="D22" s="123" t="n">
        <x:f>IF(A22="","",IF(N22&lt;&gt;"",N22,IF(B22="Nebensaison",IF(C22="Wochenende",'00_Eingabe'!$C$24,'00_Eingabe'!$B$24),IF(B22="Hauptsaison",IF(C22="Wochenende",'00_Eingabe'!$C$25,'00_Eingabe'!$B$25),IF(B22="Weihnachten",IF(C22="Wochenende",'00_Eingabe'!$C$26,'00_Eingabe'!$B$26),IF(C22="Wochenende",'00_Eingabe'!$C$27,'00_Eingabe'!$B$27))))))</x:f>
        <x:v>0.75</x:v>
      </x:c>
      <x:c r="E22" s="122" t="n">
        <x:f>IF(OR(A22="",D22=""),"",ROUND('00_Eingabe'!$B$8*D22,0))</x:f>
        <x:v>26</x:v>
      </x:c>
      <x:c r="F22" s="122" t="n">
        <x:f>IF(E22="","",ROUND(E22*'00_Eingabe'!$B$18,0))</x:f>
        <x:v>49</x:v>
      </x:c>
      <x:c r="G22" s="123" t="n">
        <x:f>IF(A22="","",IF(O22&lt;&gt;"",O22,IF(B22="Nebensaison",IF(C22="Wochenende",'00_Eingabe'!$E$24,'00_Eingabe'!$D$24),IF(B22="Hauptsaison",IF(C22="Wochenende",'00_Eingabe'!$E$25,'00_Eingabe'!$D$25),IF(B22="Weihnachten",IF(C22="Wochenende",'00_Eingabe'!$E$26,'00_Eingabe'!$D$26),IF(C22="Wochenende",'00_Eingabe'!$E$27,'00_Eingabe'!$D$27))))))</x:f>
        <x:v>0.75</x:v>
      </x:c>
      <x:c r="H22" s="122" t="n">
        <x:f>IF(OR(A22="",G22=""),"",ROUND('00_Eingabe'!$B$9*G22,0))</x:f>
        <x:v>3</x:v>
      </x:c>
      <x:c r="I22" s="122" t="n">
        <x:f>IF(H22="","",ROUND(H22*'00_Eingabe'!$B$19,0))</x:f>
        <x:v>7</x:v>
      </x:c>
      <x:c r="J22" s="122" t="n">
        <x:f>IF(OR(F22="",I22=""),"",F22+I22)</x:f>
        <x:v>56</x:v>
      </x:c>
      <x:c r="K22" s="122" t="n">
        <x:f>IF(J22="","",ROUND(J22*'00_Eingabe'!$B$16*(1+'00_Eingabe'!$B$14),0))</x:f>
        <x:v>64</x:v>
      </x:c>
      <x:c r="L22" s="122" t="n">
        <x:f>IF(B22="Betriebsferien",0,ROUND(J22*'00_Eingabe'!$B$40,0)+IF(C22="Wochenende",'00_Eingabe'!$B$42,'00_Eingabe'!$B$41))</x:f>
        <x:v>80</x:v>
      </x:c>
      <x:c r="M22" s="123" t="n">
        <x:f>IF(J22="","",ROUND(J22*'00_Eingabe'!$B$17*(1+'00_Eingabe'!$B$15),0))</x:f>
        <x:v>64</x:v>
      </x:c>
      <x:c r="N22" s="106"/>
      <x:c r="O22" s="106"/>
      <x:c r="P22" s="116"/>
      <x:c r="Q22" s="213" t="n">
        <x:f>IF(C22="Wochenende",1,0)</x:f>
        <x:v>1</x:v>
      </x:c>
      <x:c r="R22" s="213" t="n">
        <x:f>IF(AND(B22&lt;&gt;"Betriebsferien",OR(WEEKDAY(A22,2)=2,WEEKDAY(A22,2)=4)),1,0)</x:f>
        <x:v>0</x:v>
      </x:c>
      <x:c r="S22" s="214" t="n">
        <x:f>R22*MIN(1,'00_Eingabe'!$B$62/'00_Eingabe'!$B$61)</x:f>
        <x:v>0</x:v>
      </x:c>
      <x:c r="T22" s="213" t="n">
        <x:f>IF(B22="Betriebsferien",0,IF(B22="Nebensaison",IF(OR(WEEKDAY(A22,2)=1,WEEKDAY(A22,2)=3,WEEKDAY(A22,2)=5),1,0),IF(C22="Unterwoche",1,0)))</x:f>
        <x:v>0</x:v>
      </x:c>
      <x:c r="U22" s="213" t="n">
        <x:f>IF(B22="Betriebsferien",0,'00_Eingabe'!$G$24)</x:f>
        <x:v>8</x:v>
      </x:c>
    </x:row>
    <x:row r="23">
      <x:c r="A23" s="121" t="n">
        <x:f>IF(ROW()-4&lt;DATE('00_Eingabe'!$B$7+1,1,1)-DATE('00_Eingabe'!$B$7,1,1),DATE('00_Eingabe'!$B$7,1,1)+ROW()-4,"")</x:f>
        <x:v>45677</x:v>
      </x:c>
      <x:c r="B23" s="122" t="str">
        <x:f>IF(A23="","",IF(OR(AND(MONTH(A23)=12,DAY(A23)&gt;=20),AND(MONTH(A23)=1,DAY(A23)&lt;=2)),"Weihnachten",IF(OR(AND(MONTH(A23)=11,DAY(A23)&gt;=24),AND(MONTH(A23)=12,DAY(A23)&lt;=7)),"Betriebsferien",IF(OR(AND(MONTH(A23)=1,DAY(A23)&gt;=3),MONTH(A23)=2,MONTH(A23)=3,MONTH(A23)=4,MONTH(A23)=10,MONTH(A23)=11,AND(MONTH(A23)=12,DAY(A23)&lt;=15)),"Nebensaison","Hauptsaison"))))</x:f>
        <x:v>Nebensaison</x:v>
      </x:c>
      <x:c r="C23" s="122" t="str">
        <x:f>IF(A23="","",IF(WEEKDAY(A23,2)&gt;=6,"Wochenende","Unterwoche"))</x:f>
        <x:v>Unterwoche</x:v>
      </x:c>
      <x:c r="D23" s="123" t="n">
        <x:f>IF(A23="","",IF(N23&lt;&gt;"",N23,IF(B23="Nebensaison",IF(C23="Wochenende",'00_Eingabe'!$C$24,'00_Eingabe'!$B$24),IF(B23="Hauptsaison",IF(C23="Wochenende",'00_Eingabe'!$C$25,'00_Eingabe'!$B$25),IF(B23="Weihnachten",IF(C23="Wochenende",'00_Eingabe'!$C$26,'00_Eingabe'!$B$26),IF(C23="Wochenende",'00_Eingabe'!$C$27,'00_Eingabe'!$B$27))))))</x:f>
        <x:v>0.7</x:v>
      </x:c>
      <x:c r="E23" s="122" t="n">
        <x:f>IF(OR(A23="",D23=""),"",ROUND('00_Eingabe'!$B$8*D23,0))</x:f>
        <x:v>25</x:v>
      </x:c>
      <x:c r="F23" s="122" t="n">
        <x:f>IF(E23="","",ROUND(E23*'00_Eingabe'!$B$18,0))</x:f>
        <x:v>48</x:v>
      </x:c>
      <x:c r="G23" s="123" t="n">
        <x:f>IF(A23="","",IF(O23&lt;&gt;"",O23,IF(B23="Nebensaison",IF(C23="Wochenende",'00_Eingabe'!$E$24,'00_Eingabe'!$D$24),IF(B23="Hauptsaison",IF(C23="Wochenende",'00_Eingabe'!$E$25,'00_Eingabe'!$D$25),IF(B23="Weihnachten",IF(C23="Wochenende",'00_Eingabe'!$E$26,'00_Eingabe'!$D$26),IF(C23="Wochenende",'00_Eingabe'!$E$27,'00_Eingabe'!$D$27))))))</x:f>
        <x:v>0.7</x:v>
      </x:c>
      <x:c r="H23" s="122" t="n">
        <x:f>IF(OR(A23="",G23=""),"",ROUND('00_Eingabe'!$B$9*G23,0))</x:f>
        <x:v>3</x:v>
      </x:c>
      <x:c r="I23" s="122" t="n">
        <x:f>IF(H23="","",ROUND(H23*'00_Eingabe'!$B$19,0))</x:f>
        <x:v>7</x:v>
      </x:c>
      <x:c r="J23" s="122" t="n">
        <x:f>IF(OR(F23="",I23=""),"",F23+I23)</x:f>
        <x:v>55</x:v>
      </x:c>
      <x:c r="K23" s="122" t="n">
        <x:f>IF(J23="","",ROUND(J23*'00_Eingabe'!$B$16*(1+'00_Eingabe'!$B$14),0))</x:f>
        <x:v>63</x:v>
      </x:c>
      <x:c r="L23" s="122" t="n">
        <x:f>IF(B23="Betriebsferien",0,ROUND(J23*'00_Eingabe'!$B$40,0)+IF(C23="Wochenende",'00_Eingabe'!$B$42,'00_Eingabe'!$B$41))</x:f>
        <x:v>55</x:v>
      </x:c>
      <x:c r="M23" s="123" t="n">
        <x:f>IF(J23="","",ROUND(J23*'00_Eingabe'!$B$17*(1+'00_Eingabe'!$B$15),0))</x:f>
        <x:v>63</x:v>
      </x:c>
      <x:c r="N23" s="106"/>
      <x:c r="O23" s="106"/>
      <x:c r="P23" s="116"/>
      <x:c r="Q23" s="213" t="n">
        <x:f>IF(C23="Wochenende",1,0)</x:f>
        <x:v>0</x:v>
      </x:c>
      <x:c r="R23" s="213" t="n">
        <x:f>IF(AND(B23&lt;&gt;"Betriebsferien",OR(WEEKDAY(A23,2)=2,WEEKDAY(A23,2)=4)),1,0)</x:f>
        <x:v>0</x:v>
      </x:c>
      <x:c r="S23" s="214" t="n">
        <x:f>R23*MIN(1,'00_Eingabe'!$B$62/'00_Eingabe'!$B$61)</x:f>
        <x:v>0</x:v>
      </x:c>
      <x:c r="T23" s="213" t="n">
        <x:f>IF(B23="Betriebsferien",0,IF(B23="Nebensaison",IF(OR(WEEKDAY(A23,2)=1,WEEKDAY(A23,2)=3,WEEKDAY(A23,2)=5),1,0),IF(C23="Unterwoche",1,0)))</x:f>
        <x:v>1</x:v>
      </x:c>
      <x:c r="U23" s="213" t="n">
        <x:f>IF(B23="Betriebsferien",0,'00_Eingabe'!$G$24)</x:f>
        <x:v>8</x:v>
      </x:c>
    </x:row>
    <x:row r="24">
      <x:c r="A24" s="121" t="n">
        <x:f>IF(ROW()-4&lt;DATE('00_Eingabe'!$B$7+1,1,1)-DATE('00_Eingabe'!$B$7,1,1),DATE('00_Eingabe'!$B$7,1,1)+ROW()-4,"")</x:f>
        <x:v>45678</x:v>
      </x:c>
      <x:c r="B24" s="122" t="str">
        <x:f>IF(A24="","",IF(OR(AND(MONTH(A24)=12,DAY(A24)&gt;=20),AND(MONTH(A24)=1,DAY(A24)&lt;=2)),"Weihnachten",IF(OR(AND(MONTH(A24)=11,DAY(A24)&gt;=24),AND(MONTH(A24)=12,DAY(A24)&lt;=7)),"Betriebsferien",IF(OR(AND(MONTH(A24)=1,DAY(A24)&gt;=3),MONTH(A24)=2,MONTH(A24)=3,MONTH(A24)=4,MONTH(A24)=10,MONTH(A24)=11,AND(MONTH(A24)=12,DAY(A24)&lt;=15)),"Nebensaison","Hauptsaison"))))</x:f>
        <x:v>Nebensaison</x:v>
      </x:c>
      <x:c r="C24" s="122" t="str">
        <x:f>IF(A24="","",IF(WEEKDAY(A24,2)&gt;=6,"Wochenende","Unterwoche"))</x:f>
        <x:v>Unterwoche</x:v>
      </x:c>
      <x:c r="D24" s="123" t="n">
        <x:f>IF(A24="","",IF(N24&lt;&gt;"",N24,IF(B24="Nebensaison",IF(C24="Wochenende",'00_Eingabe'!$C$24,'00_Eingabe'!$B$24),IF(B24="Hauptsaison",IF(C24="Wochenende",'00_Eingabe'!$C$25,'00_Eingabe'!$B$25),IF(B24="Weihnachten",IF(C24="Wochenende",'00_Eingabe'!$C$26,'00_Eingabe'!$B$26),IF(C24="Wochenende",'00_Eingabe'!$C$27,'00_Eingabe'!$B$27))))))</x:f>
        <x:v>0.7</x:v>
      </x:c>
      <x:c r="E24" s="122" t="n">
        <x:f>IF(OR(A24="",D24=""),"",ROUND('00_Eingabe'!$B$8*D24,0))</x:f>
        <x:v>25</x:v>
      </x:c>
      <x:c r="F24" s="122" t="n">
        <x:f>IF(E24="","",ROUND(E24*'00_Eingabe'!$B$18,0))</x:f>
        <x:v>48</x:v>
      </x:c>
      <x:c r="G24" s="123" t="n">
        <x:f>IF(A24="","",IF(O24&lt;&gt;"",O24,IF(B24="Nebensaison",IF(C24="Wochenende",'00_Eingabe'!$E$24,'00_Eingabe'!$D$24),IF(B24="Hauptsaison",IF(C24="Wochenende",'00_Eingabe'!$E$25,'00_Eingabe'!$D$25),IF(B24="Weihnachten",IF(C24="Wochenende",'00_Eingabe'!$E$26,'00_Eingabe'!$D$26),IF(C24="Wochenende",'00_Eingabe'!$E$27,'00_Eingabe'!$D$27))))))</x:f>
        <x:v>0.7</x:v>
      </x:c>
      <x:c r="H24" s="122" t="n">
        <x:f>IF(OR(A24="",G24=""),"",ROUND('00_Eingabe'!$B$9*G24,0))</x:f>
        <x:v>3</x:v>
      </x:c>
      <x:c r="I24" s="122" t="n">
        <x:f>IF(H24="","",ROUND(H24*'00_Eingabe'!$B$19,0))</x:f>
        <x:v>7</x:v>
      </x:c>
      <x:c r="J24" s="122" t="n">
        <x:f>IF(OR(F24="",I24=""),"",F24+I24)</x:f>
        <x:v>55</x:v>
      </x:c>
      <x:c r="K24" s="122" t="n">
        <x:f>IF(J24="","",ROUND(J24*'00_Eingabe'!$B$16*(1+'00_Eingabe'!$B$14),0))</x:f>
        <x:v>63</x:v>
      </x:c>
      <x:c r="L24" s="122" t="n">
        <x:f>IF(B24="Betriebsferien",0,ROUND(J24*'00_Eingabe'!$B$40,0)+IF(C24="Wochenende",'00_Eingabe'!$B$42,'00_Eingabe'!$B$41))</x:f>
        <x:v>55</x:v>
      </x:c>
      <x:c r="M24" s="123" t="n">
        <x:f>IF(J24="","",ROUND(J24*'00_Eingabe'!$B$17*(1+'00_Eingabe'!$B$15),0))</x:f>
        <x:v>63</x:v>
      </x:c>
      <x:c r="N24" s="106"/>
      <x:c r="O24" s="106"/>
      <x:c r="P24" s="116"/>
      <x:c r="Q24" s="213" t="n">
        <x:f>IF(C24="Wochenende",1,0)</x:f>
        <x:v>0</x:v>
      </x:c>
      <x:c r="R24" s="213" t="n">
        <x:f>IF(AND(B24&lt;&gt;"Betriebsferien",OR(WEEKDAY(A24,2)=2,WEEKDAY(A24,2)=4)),1,0)</x:f>
        <x:v>1</x:v>
      </x:c>
      <x:c r="S24" s="214" t="n">
        <x:f>R24*MIN(1,'00_Eingabe'!$B$62/'00_Eingabe'!$B$61)</x:f>
        <x:v>0.5</x:v>
      </x:c>
      <x:c r="T24" s="213" t="n">
        <x:f>IF(B24="Betriebsferien",0,IF(B24="Nebensaison",IF(OR(WEEKDAY(A24,2)=1,WEEKDAY(A24,2)=3,WEEKDAY(A24,2)=5),1,0),IF(C24="Unterwoche",1,0)))</x:f>
        <x:v>0</x:v>
      </x:c>
      <x:c r="U24" s="213" t="n">
        <x:f>IF(B24="Betriebsferien",0,'00_Eingabe'!$G$24)</x:f>
        <x:v>8</x:v>
      </x:c>
    </x:row>
    <x:row r="25">
      <x:c r="A25" s="121" t="n">
        <x:f>IF(ROW()-4&lt;DATE('00_Eingabe'!$B$7+1,1,1)-DATE('00_Eingabe'!$B$7,1,1),DATE('00_Eingabe'!$B$7,1,1)+ROW()-4,"")</x:f>
        <x:v>45679</x:v>
      </x:c>
      <x:c r="B25" s="122" t="str">
        <x:f>IF(A25="","",IF(OR(AND(MONTH(A25)=12,DAY(A25)&gt;=20),AND(MONTH(A25)=1,DAY(A25)&lt;=2)),"Weihnachten",IF(OR(AND(MONTH(A25)=11,DAY(A25)&gt;=24),AND(MONTH(A25)=12,DAY(A25)&lt;=7)),"Betriebsferien",IF(OR(AND(MONTH(A25)=1,DAY(A25)&gt;=3),MONTH(A25)=2,MONTH(A25)=3,MONTH(A25)=4,MONTH(A25)=10,MONTH(A25)=11,AND(MONTH(A25)=12,DAY(A25)&lt;=15)),"Nebensaison","Hauptsaison"))))</x:f>
        <x:v>Nebensaison</x:v>
      </x:c>
      <x:c r="C25" s="122" t="str">
        <x:f>IF(A25="","",IF(WEEKDAY(A25,2)&gt;=6,"Wochenende","Unterwoche"))</x:f>
        <x:v>Unterwoche</x:v>
      </x:c>
      <x:c r="D25" s="123" t="n">
        <x:f>IF(A25="","",IF(N25&lt;&gt;"",N25,IF(B25="Nebensaison",IF(C25="Wochenende",'00_Eingabe'!$C$24,'00_Eingabe'!$B$24),IF(B25="Hauptsaison",IF(C25="Wochenende",'00_Eingabe'!$C$25,'00_Eingabe'!$B$25),IF(B25="Weihnachten",IF(C25="Wochenende",'00_Eingabe'!$C$26,'00_Eingabe'!$B$26),IF(C25="Wochenende",'00_Eingabe'!$C$27,'00_Eingabe'!$B$27))))))</x:f>
        <x:v>0.7</x:v>
      </x:c>
      <x:c r="E25" s="122" t="n">
        <x:f>IF(OR(A25="",D25=""),"",ROUND('00_Eingabe'!$B$8*D25,0))</x:f>
        <x:v>25</x:v>
      </x:c>
      <x:c r="F25" s="122" t="n">
        <x:f>IF(E25="","",ROUND(E25*'00_Eingabe'!$B$18,0))</x:f>
        <x:v>48</x:v>
      </x:c>
      <x:c r="G25" s="123" t="n">
        <x:f>IF(A25="","",IF(O25&lt;&gt;"",O25,IF(B25="Nebensaison",IF(C25="Wochenende",'00_Eingabe'!$E$24,'00_Eingabe'!$D$24),IF(B25="Hauptsaison",IF(C25="Wochenende",'00_Eingabe'!$E$25,'00_Eingabe'!$D$25),IF(B25="Weihnachten",IF(C25="Wochenende",'00_Eingabe'!$E$26,'00_Eingabe'!$D$26),IF(C25="Wochenende",'00_Eingabe'!$E$27,'00_Eingabe'!$D$27))))))</x:f>
        <x:v>0.7</x:v>
      </x:c>
      <x:c r="H25" s="122" t="n">
        <x:f>IF(OR(A25="",G25=""),"",ROUND('00_Eingabe'!$B$9*G25,0))</x:f>
        <x:v>3</x:v>
      </x:c>
      <x:c r="I25" s="122" t="n">
        <x:f>IF(H25="","",ROUND(H25*'00_Eingabe'!$B$19,0))</x:f>
        <x:v>7</x:v>
      </x:c>
      <x:c r="J25" s="122" t="n">
        <x:f>IF(OR(F25="",I25=""),"",F25+I25)</x:f>
        <x:v>55</x:v>
      </x:c>
      <x:c r="K25" s="122" t="n">
        <x:f>IF(J25="","",ROUND(J25*'00_Eingabe'!$B$16*(1+'00_Eingabe'!$B$14),0))</x:f>
        <x:v>63</x:v>
      </x:c>
      <x:c r="L25" s="122" t="n">
        <x:f>IF(B25="Betriebsferien",0,ROUND(J25*'00_Eingabe'!$B$40,0)+IF(C25="Wochenende",'00_Eingabe'!$B$42,'00_Eingabe'!$B$41))</x:f>
        <x:v>55</x:v>
      </x:c>
      <x:c r="M25" s="123" t="n">
        <x:f>IF(J25="","",ROUND(J25*'00_Eingabe'!$B$17*(1+'00_Eingabe'!$B$15),0))</x:f>
        <x:v>63</x:v>
      </x:c>
      <x:c r="N25" s="106"/>
      <x:c r="O25" s="106"/>
      <x:c r="P25" s="116"/>
      <x:c r="Q25" s="213" t="n">
        <x:f>IF(C25="Wochenende",1,0)</x:f>
        <x:v>0</x:v>
      </x:c>
      <x:c r="R25" s="213" t="n">
        <x:f>IF(AND(B25&lt;&gt;"Betriebsferien",OR(WEEKDAY(A25,2)=2,WEEKDAY(A25,2)=4)),1,0)</x:f>
        <x:v>0</x:v>
      </x:c>
      <x:c r="S25" s="214" t="n">
        <x:f>R25*MIN(1,'00_Eingabe'!$B$62/'00_Eingabe'!$B$61)</x:f>
        <x:v>0</x:v>
      </x:c>
      <x:c r="T25" s="213" t="n">
        <x:f>IF(B25="Betriebsferien",0,IF(B25="Nebensaison",IF(OR(WEEKDAY(A25,2)=1,WEEKDAY(A25,2)=3,WEEKDAY(A25,2)=5),1,0),IF(C25="Unterwoche",1,0)))</x:f>
        <x:v>1</x:v>
      </x:c>
      <x:c r="U25" s="213" t="n">
        <x:f>IF(B25="Betriebsferien",0,'00_Eingabe'!$G$24)</x:f>
        <x:v>8</x:v>
      </x:c>
    </x:row>
    <x:row r="26">
      <x:c r="A26" s="121" t="n">
        <x:f>IF(ROW()-4&lt;DATE('00_Eingabe'!$B$7+1,1,1)-DATE('00_Eingabe'!$B$7,1,1),DATE('00_Eingabe'!$B$7,1,1)+ROW()-4,"")</x:f>
        <x:v>45680</x:v>
      </x:c>
      <x:c r="B26" s="122" t="str">
        <x:f>IF(A26="","",IF(OR(AND(MONTH(A26)=12,DAY(A26)&gt;=20),AND(MONTH(A26)=1,DAY(A26)&lt;=2)),"Weihnachten",IF(OR(AND(MONTH(A26)=11,DAY(A26)&gt;=24),AND(MONTH(A26)=12,DAY(A26)&lt;=7)),"Betriebsferien",IF(OR(AND(MONTH(A26)=1,DAY(A26)&gt;=3),MONTH(A26)=2,MONTH(A26)=3,MONTH(A26)=4,MONTH(A26)=10,MONTH(A26)=11,AND(MONTH(A26)=12,DAY(A26)&lt;=15)),"Nebensaison","Hauptsaison"))))</x:f>
        <x:v>Nebensaison</x:v>
      </x:c>
      <x:c r="C26" s="122" t="str">
        <x:f>IF(A26="","",IF(WEEKDAY(A26,2)&gt;=6,"Wochenende","Unterwoche"))</x:f>
        <x:v>Unterwoche</x:v>
      </x:c>
      <x:c r="D26" s="123" t="n">
        <x:f>IF(A26="","",IF(N26&lt;&gt;"",N26,IF(B26="Nebensaison",IF(C26="Wochenende",'00_Eingabe'!$C$24,'00_Eingabe'!$B$24),IF(B26="Hauptsaison",IF(C26="Wochenende",'00_Eingabe'!$C$25,'00_Eingabe'!$B$25),IF(B26="Weihnachten",IF(C26="Wochenende",'00_Eingabe'!$C$26,'00_Eingabe'!$B$26),IF(C26="Wochenende",'00_Eingabe'!$C$27,'00_Eingabe'!$B$27))))))</x:f>
        <x:v>0.7</x:v>
      </x:c>
      <x:c r="E26" s="122" t="n">
        <x:f>IF(OR(A26="",D26=""),"",ROUND('00_Eingabe'!$B$8*D26,0))</x:f>
        <x:v>25</x:v>
      </x:c>
      <x:c r="F26" s="122" t="n">
        <x:f>IF(E26="","",ROUND(E26*'00_Eingabe'!$B$18,0))</x:f>
        <x:v>48</x:v>
      </x:c>
      <x:c r="G26" s="123" t="n">
        <x:f>IF(A26="","",IF(O26&lt;&gt;"",O26,IF(B26="Nebensaison",IF(C26="Wochenende",'00_Eingabe'!$E$24,'00_Eingabe'!$D$24),IF(B26="Hauptsaison",IF(C26="Wochenende",'00_Eingabe'!$E$25,'00_Eingabe'!$D$25),IF(B26="Weihnachten",IF(C26="Wochenende",'00_Eingabe'!$E$26,'00_Eingabe'!$D$26),IF(C26="Wochenende",'00_Eingabe'!$E$27,'00_Eingabe'!$D$27))))))</x:f>
        <x:v>0.7</x:v>
      </x:c>
      <x:c r="H26" s="122" t="n">
        <x:f>IF(OR(A26="",G26=""),"",ROUND('00_Eingabe'!$B$9*G26,0))</x:f>
        <x:v>3</x:v>
      </x:c>
      <x:c r="I26" s="122" t="n">
        <x:f>IF(H26="","",ROUND(H26*'00_Eingabe'!$B$19,0))</x:f>
        <x:v>7</x:v>
      </x:c>
      <x:c r="J26" s="122" t="n">
        <x:f>IF(OR(F26="",I26=""),"",F26+I26)</x:f>
        <x:v>55</x:v>
      </x:c>
      <x:c r="K26" s="122" t="n">
        <x:f>IF(J26="","",ROUND(J26*'00_Eingabe'!$B$16*(1+'00_Eingabe'!$B$14),0))</x:f>
        <x:v>63</x:v>
      </x:c>
      <x:c r="L26" s="122" t="n">
        <x:f>IF(B26="Betriebsferien",0,ROUND(J26*'00_Eingabe'!$B$40,0)+IF(C26="Wochenende",'00_Eingabe'!$B$42,'00_Eingabe'!$B$41))</x:f>
        <x:v>55</x:v>
      </x:c>
      <x:c r="M26" s="123" t="n">
        <x:f>IF(J26="","",ROUND(J26*'00_Eingabe'!$B$17*(1+'00_Eingabe'!$B$15),0))</x:f>
        <x:v>63</x:v>
      </x:c>
      <x:c r="N26" s="106"/>
      <x:c r="O26" s="106"/>
      <x:c r="P26" s="116"/>
      <x:c r="Q26" s="213" t="n">
        <x:f>IF(C26="Wochenende",1,0)</x:f>
        <x:v>0</x:v>
      </x:c>
      <x:c r="R26" s="213" t="n">
        <x:f>IF(AND(B26&lt;&gt;"Betriebsferien",OR(WEEKDAY(A26,2)=2,WEEKDAY(A26,2)=4)),1,0)</x:f>
        <x:v>1</x:v>
      </x:c>
      <x:c r="S26" s="214" t="n">
        <x:f>R26*MIN(1,'00_Eingabe'!$B$62/'00_Eingabe'!$B$61)</x:f>
        <x:v>0.5</x:v>
      </x:c>
      <x:c r="T26" s="213" t="n">
        <x:f>IF(B26="Betriebsferien",0,IF(B26="Nebensaison",IF(OR(WEEKDAY(A26,2)=1,WEEKDAY(A26,2)=3,WEEKDAY(A26,2)=5),1,0),IF(C26="Unterwoche",1,0)))</x:f>
        <x:v>0</x:v>
      </x:c>
      <x:c r="U26" s="213" t="n">
        <x:f>IF(B26="Betriebsferien",0,'00_Eingabe'!$G$24)</x:f>
        <x:v>8</x:v>
      </x:c>
    </x:row>
    <x:row r="27">
      <x:c r="A27" s="121" t="n">
        <x:f>IF(ROW()-4&lt;DATE('00_Eingabe'!$B$7+1,1,1)-DATE('00_Eingabe'!$B$7,1,1),DATE('00_Eingabe'!$B$7,1,1)+ROW()-4,"")</x:f>
        <x:v>45681</x:v>
      </x:c>
      <x:c r="B27" s="122" t="str">
        <x:f>IF(A27="","",IF(OR(AND(MONTH(A27)=12,DAY(A27)&gt;=20),AND(MONTH(A27)=1,DAY(A27)&lt;=2)),"Weihnachten",IF(OR(AND(MONTH(A27)=11,DAY(A27)&gt;=24),AND(MONTH(A27)=12,DAY(A27)&lt;=7)),"Betriebsferien",IF(OR(AND(MONTH(A27)=1,DAY(A27)&gt;=3),MONTH(A27)=2,MONTH(A27)=3,MONTH(A27)=4,MONTH(A27)=10,MONTH(A27)=11,AND(MONTH(A27)=12,DAY(A27)&lt;=15)),"Nebensaison","Hauptsaison"))))</x:f>
        <x:v>Nebensaison</x:v>
      </x:c>
      <x:c r="C27" s="122" t="str">
        <x:f>IF(A27="","",IF(WEEKDAY(A27,2)&gt;=6,"Wochenende","Unterwoche"))</x:f>
        <x:v>Unterwoche</x:v>
      </x:c>
      <x:c r="D27" s="123" t="n">
        <x:f>IF(A27="","",IF(N27&lt;&gt;"",N27,IF(B27="Nebensaison",IF(C27="Wochenende",'00_Eingabe'!$C$24,'00_Eingabe'!$B$24),IF(B27="Hauptsaison",IF(C27="Wochenende",'00_Eingabe'!$C$25,'00_Eingabe'!$B$25),IF(B27="Weihnachten",IF(C27="Wochenende",'00_Eingabe'!$C$26,'00_Eingabe'!$B$26),IF(C27="Wochenende",'00_Eingabe'!$C$27,'00_Eingabe'!$B$27))))))</x:f>
        <x:v>0.7</x:v>
      </x:c>
      <x:c r="E27" s="122" t="n">
        <x:f>IF(OR(A27="",D27=""),"",ROUND('00_Eingabe'!$B$8*D27,0))</x:f>
        <x:v>25</x:v>
      </x:c>
      <x:c r="F27" s="122" t="n">
        <x:f>IF(E27="","",ROUND(E27*'00_Eingabe'!$B$18,0))</x:f>
        <x:v>48</x:v>
      </x:c>
      <x:c r="G27" s="123" t="n">
        <x:f>IF(A27="","",IF(O27&lt;&gt;"",O27,IF(B27="Nebensaison",IF(C27="Wochenende",'00_Eingabe'!$E$24,'00_Eingabe'!$D$24),IF(B27="Hauptsaison",IF(C27="Wochenende",'00_Eingabe'!$E$25,'00_Eingabe'!$D$25),IF(B27="Weihnachten",IF(C27="Wochenende",'00_Eingabe'!$E$26,'00_Eingabe'!$D$26),IF(C27="Wochenende",'00_Eingabe'!$E$27,'00_Eingabe'!$D$27))))))</x:f>
        <x:v>0.7</x:v>
      </x:c>
      <x:c r="H27" s="122" t="n">
        <x:f>IF(OR(A27="",G27=""),"",ROUND('00_Eingabe'!$B$9*G27,0))</x:f>
        <x:v>3</x:v>
      </x:c>
      <x:c r="I27" s="122" t="n">
        <x:f>IF(H27="","",ROUND(H27*'00_Eingabe'!$B$19,0))</x:f>
        <x:v>7</x:v>
      </x:c>
      <x:c r="J27" s="122" t="n">
        <x:f>IF(OR(F27="",I27=""),"",F27+I27)</x:f>
        <x:v>55</x:v>
      </x:c>
      <x:c r="K27" s="122" t="n">
        <x:f>IF(J27="","",ROUND(J27*'00_Eingabe'!$B$16*(1+'00_Eingabe'!$B$14),0))</x:f>
        <x:v>63</x:v>
      </x:c>
      <x:c r="L27" s="122" t="n">
        <x:f>IF(B27="Betriebsferien",0,ROUND(J27*'00_Eingabe'!$B$40,0)+IF(C27="Wochenende",'00_Eingabe'!$B$42,'00_Eingabe'!$B$41))</x:f>
        <x:v>55</x:v>
      </x:c>
      <x:c r="M27" s="123" t="n">
        <x:f>IF(J27="","",ROUND(J27*'00_Eingabe'!$B$17*(1+'00_Eingabe'!$B$15),0))</x:f>
        <x:v>63</x:v>
      </x:c>
      <x:c r="N27" s="106"/>
      <x:c r="O27" s="106"/>
      <x:c r="P27" s="116"/>
      <x:c r="Q27" s="213" t="n">
        <x:f>IF(C27="Wochenende",1,0)</x:f>
        <x:v>0</x:v>
      </x:c>
      <x:c r="R27" s="213" t="n">
        <x:f>IF(AND(B27&lt;&gt;"Betriebsferien",OR(WEEKDAY(A27,2)=2,WEEKDAY(A27,2)=4)),1,0)</x:f>
        <x:v>0</x:v>
      </x:c>
      <x:c r="S27" s="214" t="n">
        <x:f>R27*MIN(1,'00_Eingabe'!$B$62/'00_Eingabe'!$B$61)</x:f>
        <x:v>0</x:v>
      </x:c>
      <x:c r="T27" s="213" t="n">
        <x:f>IF(B27="Betriebsferien",0,IF(B27="Nebensaison",IF(OR(WEEKDAY(A27,2)=1,WEEKDAY(A27,2)=3,WEEKDAY(A27,2)=5),1,0),IF(C27="Unterwoche",1,0)))</x:f>
        <x:v>1</x:v>
      </x:c>
      <x:c r="U27" s="213" t="n">
        <x:f>IF(B27="Betriebsferien",0,'00_Eingabe'!$G$24)</x:f>
        <x:v>8</x:v>
      </x:c>
    </x:row>
    <x:row r="28">
      <x:c r="A28" s="121" t="n">
        <x:f>IF(ROW()-4&lt;DATE('00_Eingabe'!$B$7+1,1,1)-DATE('00_Eingabe'!$B$7,1,1),DATE('00_Eingabe'!$B$7,1,1)+ROW()-4,"")</x:f>
        <x:v>45682</x:v>
      </x:c>
      <x:c r="B28" s="122" t="str">
        <x:f>IF(A28="","",IF(OR(AND(MONTH(A28)=12,DAY(A28)&gt;=20),AND(MONTH(A28)=1,DAY(A28)&lt;=2)),"Weihnachten",IF(OR(AND(MONTH(A28)=11,DAY(A28)&gt;=24),AND(MONTH(A28)=12,DAY(A28)&lt;=7)),"Betriebsferien",IF(OR(AND(MONTH(A28)=1,DAY(A28)&gt;=3),MONTH(A28)=2,MONTH(A28)=3,MONTH(A28)=4,MONTH(A28)=10,MONTH(A28)=11,AND(MONTH(A28)=12,DAY(A28)&lt;=15)),"Nebensaison","Hauptsaison"))))</x:f>
        <x:v>Nebensaison</x:v>
      </x:c>
      <x:c r="C28" s="122" t="str">
        <x:f>IF(A28="","",IF(WEEKDAY(A28,2)&gt;=6,"Wochenende","Unterwoche"))</x:f>
        <x:v>Wochenende</x:v>
      </x:c>
      <x:c r="D28" s="123" t="n">
        <x:f>IF(A28="","",IF(N28&lt;&gt;"",N28,IF(B28="Nebensaison",IF(C28="Wochenende",'00_Eingabe'!$C$24,'00_Eingabe'!$B$24),IF(B28="Hauptsaison",IF(C28="Wochenende",'00_Eingabe'!$C$25,'00_Eingabe'!$B$25),IF(B28="Weihnachten",IF(C28="Wochenende",'00_Eingabe'!$C$26,'00_Eingabe'!$B$26),IF(C28="Wochenende",'00_Eingabe'!$C$27,'00_Eingabe'!$B$27))))))</x:f>
        <x:v>0.75</x:v>
      </x:c>
      <x:c r="E28" s="122" t="n">
        <x:f>IF(OR(A28="",D28=""),"",ROUND('00_Eingabe'!$B$8*D28,0))</x:f>
        <x:v>26</x:v>
      </x:c>
      <x:c r="F28" s="122" t="n">
        <x:f>IF(E28="","",ROUND(E28*'00_Eingabe'!$B$18,0))</x:f>
        <x:v>49</x:v>
      </x:c>
      <x:c r="G28" s="123" t="n">
        <x:f>IF(A28="","",IF(O28&lt;&gt;"",O28,IF(B28="Nebensaison",IF(C28="Wochenende",'00_Eingabe'!$E$24,'00_Eingabe'!$D$24),IF(B28="Hauptsaison",IF(C28="Wochenende",'00_Eingabe'!$E$25,'00_Eingabe'!$D$25),IF(B28="Weihnachten",IF(C28="Wochenende",'00_Eingabe'!$E$26,'00_Eingabe'!$D$26),IF(C28="Wochenende",'00_Eingabe'!$E$27,'00_Eingabe'!$D$27))))))</x:f>
        <x:v>0.75</x:v>
      </x:c>
      <x:c r="H28" s="122" t="n">
        <x:f>IF(OR(A28="",G28=""),"",ROUND('00_Eingabe'!$B$9*G28,0))</x:f>
        <x:v>3</x:v>
      </x:c>
      <x:c r="I28" s="122" t="n">
        <x:f>IF(H28="","",ROUND(H28*'00_Eingabe'!$B$19,0))</x:f>
        <x:v>7</x:v>
      </x:c>
      <x:c r="J28" s="122" t="n">
        <x:f>IF(OR(F28="",I28=""),"",F28+I28)</x:f>
        <x:v>56</x:v>
      </x:c>
      <x:c r="K28" s="122" t="n">
        <x:f>IF(J28="","",ROUND(J28*'00_Eingabe'!$B$16*(1+'00_Eingabe'!$B$14),0))</x:f>
        <x:v>64</x:v>
      </x:c>
      <x:c r="L28" s="122" t="n">
        <x:f>IF(B28="Betriebsferien",0,ROUND(J28*'00_Eingabe'!$B$40,0)+IF(C28="Wochenende",'00_Eingabe'!$B$42,'00_Eingabe'!$B$41))</x:f>
        <x:v>80</x:v>
      </x:c>
      <x:c r="M28" s="123" t="n">
        <x:f>IF(J28="","",ROUND(J28*'00_Eingabe'!$B$17*(1+'00_Eingabe'!$B$15),0))</x:f>
        <x:v>64</x:v>
      </x:c>
      <x:c r="N28" s="106"/>
      <x:c r="O28" s="106"/>
      <x:c r="P28" s="116"/>
      <x:c r="Q28" s="213" t="n">
        <x:f>IF(C28="Wochenende",1,0)</x:f>
        <x:v>1</x:v>
      </x:c>
      <x:c r="R28" s="213" t="n">
        <x:f>IF(AND(B28&lt;&gt;"Betriebsferien",OR(WEEKDAY(A28,2)=2,WEEKDAY(A28,2)=4)),1,0)</x:f>
        <x:v>0</x:v>
      </x:c>
      <x:c r="S28" s="214" t="n">
        <x:f>R28*MIN(1,'00_Eingabe'!$B$62/'00_Eingabe'!$B$61)</x:f>
        <x:v>0</x:v>
      </x:c>
      <x:c r="T28" s="213" t="n">
        <x:f>IF(B28="Betriebsferien",0,IF(B28="Nebensaison",IF(OR(WEEKDAY(A28,2)=1,WEEKDAY(A28,2)=3,WEEKDAY(A28,2)=5),1,0),IF(C28="Unterwoche",1,0)))</x:f>
        <x:v>0</x:v>
      </x:c>
      <x:c r="U28" s="213" t="n">
        <x:f>IF(B28="Betriebsferien",0,'00_Eingabe'!$G$24)</x:f>
        <x:v>8</x:v>
      </x:c>
    </x:row>
    <x:row r="29">
      <x:c r="A29" s="121" t="n">
        <x:f>IF(ROW()-4&lt;DATE('00_Eingabe'!$B$7+1,1,1)-DATE('00_Eingabe'!$B$7,1,1),DATE('00_Eingabe'!$B$7,1,1)+ROW()-4,"")</x:f>
        <x:v>45683</x:v>
      </x:c>
      <x:c r="B29" s="122" t="str">
        <x:f>IF(A29="","",IF(OR(AND(MONTH(A29)=12,DAY(A29)&gt;=20),AND(MONTH(A29)=1,DAY(A29)&lt;=2)),"Weihnachten",IF(OR(AND(MONTH(A29)=11,DAY(A29)&gt;=24),AND(MONTH(A29)=12,DAY(A29)&lt;=7)),"Betriebsferien",IF(OR(AND(MONTH(A29)=1,DAY(A29)&gt;=3),MONTH(A29)=2,MONTH(A29)=3,MONTH(A29)=4,MONTH(A29)=10,MONTH(A29)=11,AND(MONTH(A29)=12,DAY(A29)&lt;=15)),"Nebensaison","Hauptsaison"))))</x:f>
        <x:v>Nebensaison</x:v>
      </x:c>
      <x:c r="C29" s="122" t="str">
        <x:f>IF(A29="","",IF(WEEKDAY(A29,2)&gt;=6,"Wochenende","Unterwoche"))</x:f>
        <x:v>Wochenende</x:v>
      </x:c>
      <x:c r="D29" s="123" t="n">
        <x:f>IF(A29="","",IF(N29&lt;&gt;"",N29,IF(B29="Nebensaison",IF(C29="Wochenende",'00_Eingabe'!$C$24,'00_Eingabe'!$B$24),IF(B29="Hauptsaison",IF(C29="Wochenende",'00_Eingabe'!$C$25,'00_Eingabe'!$B$25),IF(B29="Weihnachten",IF(C29="Wochenende",'00_Eingabe'!$C$26,'00_Eingabe'!$B$26),IF(C29="Wochenende",'00_Eingabe'!$C$27,'00_Eingabe'!$B$27))))))</x:f>
        <x:v>0.75</x:v>
      </x:c>
      <x:c r="E29" s="122" t="n">
        <x:f>IF(OR(A29="",D29=""),"",ROUND('00_Eingabe'!$B$8*D29,0))</x:f>
        <x:v>26</x:v>
      </x:c>
      <x:c r="F29" s="122" t="n">
        <x:f>IF(E29="","",ROUND(E29*'00_Eingabe'!$B$18,0))</x:f>
        <x:v>49</x:v>
      </x:c>
      <x:c r="G29" s="123" t="n">
        <x:f>IF(A29="","",IF(O29&lt;&gt;"",O29,IF(B29="Nebensaison",IF(C29="Wochenende",'00_Eingabe'!$E$24,'00_Eingabe'!$D$24),IF(B29="Hauptsaison",IF(C29="Wochenende",'00_Eingabe'!$E$25,'00_Eingabe'!$D$25),IF(B29="Weihnachten",IF(C29="Wochenende",'00_Eingabe'!$E$26,'00_Eingabe'!$D$26),IF(C29="Wochenende",'00_Eingabe'!$E$27,'00_Eingabe'!$D$27))))))</x:f>
        <x:v>0.75</x:v>
      </x:c>
      <x:c r="H29" s="122" t="n">
        <x:f>IF(OR(A29="",G29=""),"",ROUND('00_Eingabe'!$B$9*G29,0))</x:f>
        <x:v>3</x:v>
      </x:c>
      <x:c r="I29" s="122" t="n">
        <x:f>IF(H29="","",ROUND(H29*'00_Eingabe'!$B$19,0))</x:f>
        <x:v>7</x:v>
      </x:c>
      <x:c r="J29" s="122" t="n">
        <x:f>IF(OR(F29="",I29=""),"",F29+I29)</x:f>
        <x:v>56</x:v>
      </x:c>
      <x:c r="K29" s="122" t="n">
        <x:f>IF(J29="","",ROUND(J29*'00_Eingabe'!$B$16*(1+'00_Eingabe'!$B$14),0))</x:f>
        <x:v>64</x:v>
      </x:c>
      <x:c r="L29" s="122" t="n">
        <x:f>IF(B29="Betriebsferien",0,ROUND(J29*'00_Eingabe'!$B$40,0)+IF(C29="Wochenende",'00_Eingabe'!$B$42,'00_Eingabe'!$B$41))</x:f>
        <x:v>80</x:v>
      </x:c>
      <x:c r="M29" s="123" t="n">
        <x:f>IF(J29="","",ROUND(J29*'00_Eingabe'!$B$17*(1+'00_Eingabe'!$B$15),0))</x:f>
        <x:v>64</x:v>
      </x:c>
      <x:c r="N29" s="106"/>
      <x:c r="O29" s="106"/>
      <x:c r="P29" s="116"/>
      <x:c r="Q29" s="213" t="n">
        <x:f>IF(C29="Wochenende",1,0)</x:f>
        <x:v>1</x:v>
      </x:c>
      <x:c r="R29" s="213" t="n">
        <x:f>IF(AND(B29&lt;&gt;"Betriebsferien",OR(WEEKDAY(A29,2)=2,WEEKDAY(A29,2)=4)),1,0)</x:f>
        <x:v>0</x:v>
      </x:c>
      <x:c r="S29" s="214" t="n">
        <x:f>R29*MIN(1,'00_Eingabe'!$B$62/'00_Eingabe'!$B$61)</x:f>
        <x:v>0</x:v>
      </x:c>
      <x:c r="T29" s="213" t="n">
        <x:f>IF(B29="Betriebsferien",0,IF(B29="Nebensaison",IF(OR(WEEKDAY(A29,2)=1,WEEKDAY(A29,2)=3,WEEKDAY(A29,2)=5),1,0),IF(C29="Unterwoche",1,0)))</x:f>
        <x:v>0</x:v>
      </x:c>
      <x:c r="U29" s="213" t="n">
        <x:f>IF(B29="Betriebsferien",0,'00_Eingabe'!$G$24)</x:f>
        <x:v>8</x:v>
      </x:c>
    </x:row>
    <x:row r="30">
      <x:c r="A30" s="121" t="n">
        <x:f>IF(ROW()-4&lt;DATE('00_Eingabe'!$B$7+1,1,1)-DATE('00_Eingabe'!$B$7,1,1),DATE('00_Eingabe'!$B$7,1,1)+ROW()-4,"")</x:f>
        <x:v>45684</x:v>
      </x:c>
      <x:c r="B30" s="122" t="str">
        <x:f>IF(A30="","",IF(OR(AND(MONTH(A30)=12,DAY(A30)&gt;=20),AND(MONTH(A30)=1,DAY(A30)&lt;=2)),"Weihnachten",IF(OR(AND(MONTH(A30)=11,DAY(A30)&gt;=24),AND(MONTH(A30)=12,DAY(A30)&lt;=7)),"Betriebsferien",IF(OR(AND(MONTH(A30)=1,DAY(A30)&gt;=3),MONTH(A30)=2,MONTH(A30)=3,MONTH(A30)=4,MONTH(A30)=10,MONTH(A30)=11,AND(MONTH(A30)=12,DAY(A30)&lt;=15)),"Nebensaison","Hauptsaison"))))</x:f>
        <x:v>Nebensaison</x:v>
      </x:c>
      <x:c r="C30" s="122" t="str">
        <x:f>IF(A30="","",IF(WEEKDAY(A30,2)&gt;=6,"Wochenende","Unterwoche"))</x:f>
        <x:v>Unterwoche</x:v>
      </x:c>
      <x:c r="D30" s="123" t="n">
        <x:f>IF(A30="","",IF(N30&lt;&gt;"",N30,IF(B30="Nebensaison",IF(C30="Wochenende",'00_Eingabe'!$C$24,'00_Eingabe'!$B$24),IF(B30="Hauptsaison",IF(C30="Wochenende",'00_Eingabe'!$C$25,'00_Eingabe'!$B$25),IF(B30="Weihnachten",IF(C30="Wochenende",'00_Eingabe'!$C$26,'00_Eingabe'!$B$26),IF(C30="Wochenende",'00_Eingabe'!$C$27,'00_Eingabe'!$B$27))))))</x:f>
        <x:v>0.7</x:v>
      </x:c>
      <x:c r="E30" s="122" t="n">
        <x:f>IF(OR(A30="",D30=""),"",ROUND('00_Eingabe'!$B$8*D30,0))</x:f>
        <x:v>25</x:v>
      </x:c>
      <x:c r="F30" s="122" t="n">
        <x:f>IF(E30="","",ROUND(E30*'00_Eingabe'!$B$18,0))</x:f>
        <x:v>48</x:v>
      </x:c>
      <x:c r="G30" s="123" t="n">
        <x:f>IF(A30="","",IF(O30&lt;&gt;"",O30,IF(B30="Nebensaison",IF(C30="Wochenende",'00_Eingabe'!$E$24,'00_Eingabe'!$D$24),IF(B30="Hauptsaison",IF(C30="Wochenende",'00_Eingabe'!$E$25,'00_Eingabe'!$D$25),IF(B30="Weihnachten",IF(C30="Wochenende",'00_Eingabe'!$E$26,'00_Eingabe'!$D$26),IF(C30="Wochenende",'00_Eingabe'!$E$27,'00_Eingabe'!$D$27))))))</x:f>
        <x:v>0.7</x:v>
      </x:c>
      <x:c r="H30" s="122" t="n">
        <x:f>IF(OR(A30="",G30=""),"",ROUND('00_Eingabe'!$B$9*G30,0))</x:f>
        <x:v>3</x:v>
      </x:c>
      <x:c r="I30" s="122" t="n">
        <x:f>IF(H30="","",ROUND(H30*'00_Eingabe'!$B$19,0))</x:f>
        <x:v>7</x:v>
      </x:c>
      <x:c r="J30" s="122" t="n">
        <x:f>IF(OR(F30="",I30=""),"",F30+I30)</x:f>
        <x:v>55</x:v>
      </x:c>
      <x:c r="K30" s="122" t="n">
        <x:f>IF(J30="","",ROUND(J30*'00_Eingabe'!$B$16*(1+'00_Eingabe'!$B$14),0))</x:f>
        <x:v>63</x:v>
      </x:c>
      <x:c r="L30" s="122" t="n">
        <x:f>IF(B30="Betriebsferien",0,ROUND(J30*'00_Eingabe'!$B$40,0)+IF(C30="Wochenende",'00_Eingabe'!$B$42,'00_Eingabe'!$B$41))</x:f>
        <x:v>55</x:v>
      </x:c>
      <x:c r="M30" s="123" t="n">
        <x:f>IF(J30="","",ROUND(J30*'00_Eingabe'!$B$17*(1+'00_Eingabe'!$B$15),0))</x:f>
        <x:v>63</x:v>
      </x:c>
      <x:c r="N30" s="106"/>
      <x:c r="O30" s="106"/>
      <x:c r="P30" s="116"/>
      <x:c r="Q30" s="213" t="n">
        <x:f>IF(C30="Wochenende",1,0)</x:f>
        <x:v>0</x:v>
      </x:c>
      <x:c r="R30" s="213" t="n">
        <x:f>IF(AND(B30&lt;&gt;"Betriebsferien",OR(WEEKDAY(A30,2)=2,WEEKDAY(A30,2)=4)),1,0)</x:f>
        <x:v>0</x:v>
      </x:c>
      <x:c r="S30" s="214" t="n">
        <x:f>R30*MIN(1,'00_Eingabe'!$B$62/'00_Eingabe'!$B$61)</x:f>
        <x:v>0</x:v>
      </x:c>
      <x:c r="T30" s="213" t="n">
        <x:f>IF(B30="Betriebsferien",0,IF(B30="Nebensaison",IF(OR(WEEKDAY(A30,2)=1,WEEKDAY(A30,2)=3,WEEKDAY(A30,2)=5),1,0),IF(C30="Unterwoche",1,0)))</x:f>
        <x:v>1</x:v>
      </x:c>
      <x:c r="U30" s="213" t="n">
        <x:f>IF(B30="Betriebsferien",0,'00_Eingabe'!$G$24)</x:f>
        <x:v>8</x:v>
      </x:c>
    </x:row>
    <x:row r="31">
      <x:c r="A31" s="121" t="n">
        <x:f>IF(ROW()-4&lt;DATE('00_Eingabe'!$B$7+1,1,1)-DATE('00_Eingabe'!$B$7,1,1),DATE('00_Eingabe'!$B$7,1,1)+ROW()-4,"")</x:f>
        <x:v>45685</x:v>
      </x:c>
      <x:c r="B31" s="122" t="str">
        <x:f>IF(A31="","",IF(OR(AND(MONTH(A31)=12,DAY(A31)&gt;=20),AND(MONTH(A31)=1,DAY(A31)&lt;=2)),"Weihnachten",IF(OR(AND(MONTH(A31)=11,DAY(A31)&gt;=24),AND(MONTH(A31)=12,DAY(A31)&lt;=7)),"Betriebsferien",IF(OR(AND(MONTH(A31)=1,DAY(A31)&gt;=3),MONTH(A31)=2,MONTH(A31)=3,MONTH(A31)=4,MONTH(A31)=10,MONTH(A31)=11,AND(MONTH(A31)=12,DAY(A31)&lt;=15)),"Nebensaison","Hauptsaison"))))</x:f>
        <x:v>Nebensaison</x:v>
      </x:c>
      <x:c r="C31" s="122" t="str">
        <x:f>IF(A31="","",IF(WEEKDAY(A31,2)&gt;=6,"Wochenende","Unterwoche"))</x:f>
        <x:v>Unterwoche</x:v>
      </x:c>
      <x:c r="D31" s="123" t="n">
        <x:f>IF(A31="","",IF(N31&lt;&gt;"",N31,IF(B31="Nebensaison",IF(C31="Wochenende",'00_Eingabe'!$C$24,'00_Eingabe'!$B$24),IF(B31="Hauptsaison",IF(C31="Wochenende",'00_Eingabe'!$C$25,'00_Eingabe'!$B$25),IF(B31="Weihnachten",IF(C31="Wochenende",'00_Eingabe'!$C$26,'00_Eingabe'!$B$26),IF(C31="Wochenende",'00_Eingabe'!$C$27,'00_Eingabe'!$B$27))))))</x:f>
        <x:v>0.7</x:v>
      </x:c>
      <x:c r="E31" s="122" t="n">
        <x:f>IF(OR(A31="",D31=""),"",ROUND('00_Eingabe'!$B$8*D31,0))</x:f>
        <x:v>25</x:v>
      </x:c>
      <x:c r="F31" s="122" t="n">
        <x:f>IF(E31="","",ROUND(E31*'00_Eingabe'!$B$18,0))</x:f>
        <x:v>48</x:v>
      </x:c>
      <x:c r="G31" s="123" t="n">
        <x:f>IF(A31="","",IF(O31&lt;&gt;"",O31,IF(B31="Nebensaison",IF(C31="Wochenende",'00_Eingabe'!$E$24,'00_Eingabe'!$D$24),IF(B31="Hauptsaison",IF(C31="Wochenende",'00_Eingabe'!$E$25,'00_Eingabe'!$D$25),IF(B31="Weihnachten",IF(C31="Wochenende",'00_Eingabe'!$E$26,'00_Eingabe'!$D$26),IF(C31="Wochenende",'00_Eingabe'!$E$27,'00_Eingabe'!$D$27))))))</x:f>
        <x:v>0.7</x:v>
      </x:c>
      <x:c r="H31" s="122" t="n">
        <x:f>IF(OR(A31="",G31=""),"",ROUND('00_Eingabe'!$B$9*G31,0))</x:f>
        <x:v>3</x:v>
      </x:c>
      <x:c r="I31" s="122" t="n">
        <x:f>IF(H31="","",ROUND(H31*'00_Eingabe'!$B$19,0))</x:f>
        <x:v>7</x:v>
      </x:c>
      <x:c r="J31" s="122" t="n">
        <x:f>IF(OR(F31="",I31=""),"",F31+I31)</x:f>
        <x:v>55</x:v>
      </x:c>
      <x:c r="K31" s="122" t="n">
        <x:f>IF(J31="","",ROUND(J31*'00_Eingabe'!$B$16*(1+'00_Eingabe'!$B$14),0))</x:f>
        <x:v>63</x:v>
      </x:c>
      <x:c r="L31" s="122" t="n">
        <x:f>IF(B31="Betriebsferien",0,ROUND(J31*'00_Eingabe'!$B$40,0)+IF(C31="Wochenende",'00_Eingabe'!$B$42,'00_Eingabe'!$B$41))</x:f>
        <x:v>55</x:v>
      </x:c>
      <x:c r="M31" s="123" t="n">
        <x:f>IF(J31="","",ROUND(J31*'00_Eingabe'!$B$17*(1+'00_Eingabe'!$B$15),0))</x:f>
        <x:v>63</x:v>
      </x:c>
      <x:c r="N31" s="106"/>
      <x:c r="O31" s="106"/>
      <x:c r="P31" s="116"/>
      <x:c r="Q31" s="213" t="n">
        <x:f>IF(C31="Wochenende",1,0)</x:f>
        <x:v>0</x:v>
      </x:c>
      <x:c r="R31" s="213" t="n">
        <x:f>IF(AND(B31&lt;&gt;"Betriebsferien",OR(WEEKDAY(A31,2)=2,WEEKDAY(A31,2)=4)),1,0)</x:f>
        <x:v>1</x:v>
      </x:c>
      <x:c r="S31" s="214" t="n">
        <x:f>R31*MIN(1,'00_Eingabe'!$B$62/'00_Eingabe'!$B$61)</x:f>
        <x:v>0.5</x:v>
      </x:c>
      <x:c r="T31" s="213" t="n">
        <x:f>IF(B31="Betriebsferien",0,IF(B31="Nebensaison",IF(OR(WEEKDAY(A31,2)=1,WEEKDAY(A31,2)=3,WEEKDAY(A31,2)=5),1,0),IF(C31="Unterwoche",1,0)))</x:f>
        <x:v>0</x:v>
      </x:c>
      <x:c r="U31" s="213" t="n">
        <x:f>IF(B31="Betriebsferien",0,'00_Eingabe'!$G$24)</x:f>
        <x:v>8</x:v>
      </x:c>
    </x:row>
    <x:row r="32">
      <x:c r="A32" s="121" t="n">
        <x:f>IF(ROW()-4&lt;DATE('00_Eingabe'!$B$7+1,1,1)-DATE('00_Eingabe'!$B$7,1,1),DATE('00_Eingabe'!$B$7,1,1)+ROW()-4,"")</x:f>
        <x:v>45686</x:v>
      </x:c>
      <x:c r="B32" s="122" t="str">
        <x:f>IF(A32="","",IF(OR(AND(MONTH(A32)=12,DAY(A32)&gt;=20),AND(MONTH(A32)=1,DAY(A32)&lt;=2)),"Weihnachten",IF(OR(AND(MONTH(A32)=11,DAY(A32)&gt;=24),AND(MONTH(A32)=12,DAY(A32)&lt;=7)),"Betriebsferien",IF(OR(AND(MONTH(A32)=1,DAY(A32)&gt;=3),MONTH(A32)=2,MONTH(A32)=3,MONTH(A32)=4,MONTH(A32)=10,MONTH(A32)=11,AND(MONTH(A32)=12,DAY(A32)&lt;=15)),"Nebensaison","Hauptsaison"))))</x:f>
        <x:v>Nebensaison</x:v>
      </x:c>
      <x:c r="C32" s="122" t="str">
        <x:f>IF(A32="","",IF(WEEKDAY(A32,2)&gt;=6,"Wochenende","Unterwoche"))</x:f>
        <x:v>Unterwoche</x:v>
      </x:c>
      <x:c r="D32" s="123" t="n">
        <x:f>IF(A32="","",IF(N32&lt;&gt;"",N32,IF(B32="Nebensaison",IF(C32="Wochenende",'00_Eingabe'!$C$24,'00_Eingabe'!$B$24),IF(B32="Hauptsaison",IF(C32="Wochenende",'00_Eingabe'!$C$25,'00_Eingabe'!$B$25),IF(B32="Weihnachten",IF(C32="Wochenende",'00_Eingabe'!$C$26,'00_Eingabe'!$B$26),IF(C32="Wochenende",'00_Eingabe'!$C$27,'00_Eingabe'!$B$27))))))</x:f>
        <x:v>0.7</x:v>
      </x:c>
      <x:c r="E32" s="122" t="n">
        <x:f>IF(OR(A32="",D32=""),"",ROUND('00_Eingabe'!$B$8*D32,0))</x:f>
        <x:v>25</x:v>
      </x:c>
      <x:c r="F32" s="122" t="n">
        <x:f>IF(E32="","",ROUND(E32*'00_Eingabe'!$B$18,0))</x:f>
        <x:v>48</x:v>
      </x:c>
      <x:c r="G32" s="123" t="n">
        <x:f>IF(A32="","",IF(O32&lt;&gt;"",O32,IF(B32="Nebensaison",IF(C32="Wochenende",'00_Eingabe'!$E$24,'00_Eingabe'!$D$24),IF(B32="Hauptsaison",IF(C32="Wochenende",'00_Eingabe'!$E$25,'00_Eingabe'!$D$25),IF(B32="Weihnachten",IF(C32="Wochenende",'00_Eingabe'!$E$26,'00_Eingabe'!$D$26),IF(C32="Wochenende",'00_Eingabe'!$E$27,'00_Eingabe'!$D$27))))))</x:f>
        <x:v>0.7</x:v>
      </x:c>
      <x:c r="H32" s="122" t="n">
        <x:f>IF(OR(A32="",G32=""),"",ROUND('00_Eingabe'!$B$9*G32,0))</x:f>
        <x:v>3</x:v>
      </x:c>
      <x:c r="I32" s="122" t="n">
        <x:f>IF(H32="","",ROUND(H32*'00_Eingabe'!$B$19,0))</x:f>
        <x:v>7</x:v>
      </x:c>
      <x:c r="J32" s="122" t="n">
        <x:f>IF(OR(F32="",I32=""),"",F32+I32)</x:f>
        <x:v>55</x:v>
      </x:c>
      <x:c r="K32" s="122" t="n">
        <x:f>IF(J32="","",ROUND(J32*'00_Eingabe'!$B$16*(1+'00_Eingabe'!$B$14),0))</x:f>
        <x:v>63</x:v>
      </x:c>
      <x:c r="L32" s="122" t="n">
        <x:f>IF(B32="Betriebsferien",0,ROUND(J32*'00_Eingabe'!$B$40,0)+IF(C32="Wochenende",'00_Eingabe'!$B$42,'00_Eingabe'!$B$41))</x:f>
        <x:v>55</x:v>
      </x:c>
      <x:c r="M32" s="123" t="n">
        <x:f>IF(J32="","",ROUND(J32*'00_Eingabe'!$B$17*(1+'00_Eingabe'!$B$15),0))</x:f>
        <x:v>63</x:v>
      </x:c>
      <x:c r="N32" s="106"/>
      <x:c r="O32" s="106"/>
      <x:c r="P32" s="116"/>
      <x:c r="Q32" s="213" t="n">
        <x:f>IF(C32="Wochenende",1,0)</x:f>
        <x:v>0</x:v>
      </x:c>
      <x:c r="R32" s="213" t="n">
        <x:f>IF(AND(B32&lt;&gt;"Betriebsferien",OR(WEEKDAY(A32,2)=2,WEEKDAY(A32,2)=4)),1,0)</x:f>
        <x:v>0</x:v>
      </x:c>
      <x:c r="S32" s="214" t="n">
        <x:f>R32*MIN(1,'00_Eingabe'!$B$62/'00_Eingabe'!$B$61)</x:f>
        <x:v>0</x:v>
      </x:c>
      <x:c r="T32" s="213" t="n">
        <x:f>IF(B32="Betriebsferien",0,IF(B32="Nebensaison",IF(OR(WEEKDAY(A32,2)=1,WEEKDAY(A32,2)=3,WEEKDAY(A32,2)=5),1,0),IF(C32="Unterwoche",1,0)))</x:f>
        <x:v>1</x:v>
      </x:c>
      <x:c r="U32" s="213" t="n">
        <x:f>IF(B32="Betriebsferien",0,'00_Eingabe'!$G$24)</x:f>
        <x:v>8</x:v>
      </x:c>
    </x:row>
    <x:row r="33">
      <x:c r="A33" s="121" t="n">
        <x:f>IF(ROW()-4&lt;DATE('00_Eingabe'!$B$7+1,1,1)-DATE('00_Eingabe'!$B$7,1,1),DATE('00_Eingabe'!$B$7,1,1)+ROW()-4,"")</x:f>
        <x:v>45687</x:v>
      </x:c>
      <x:c r="B33" s="122" t="str">
        <x:f>IF(A33="","",IF(OR(AND(MONTH(A33)=12,DAY(A33)&gt;=20),AND(MONTH(A33)=1,DAY(A33)&lt;=2)),"Weihnachten",IF(OR(AND(MONTH(A33)=11,DAY(A33)&gt;=24),AND(MONTH(A33)=12,DAY(A33)&lt;=7)),"Betriebsferien",IF(OR(AND(MONTH(A33)=1,DAY(A33)&gt;=3),MONTH(A33)=2,MONTH(A33)=3,MONTH(A33)=4,MONTH(A33)=10,MONTH(A33)=11,AND(MONTH(A33)=12,DAY(A33)&lt;=15)),"Nebensaison","Hauptsaison"))))</x:f>
        <x:v>Nebensaison</x:v>
      </x:c>
      <x:c r="C33" s="122" t="str">
        <x:f>IF(A33="","",IF(WEEKDAY(A33,2)&gt;=6,"Wochenende","Unterwoche"))</x:f>
        <x:v>Unterwoche</x:v>
      </x:c>
      <x:c r="D33" s="123" t="n">
        <x:f>IF(A33="","",IF(N33&lt;&gt;"",N33,IF(B33="Nebensaison",IF(C33="Wochenende",'00_Eingabe'!$C$24,'00_Eingabe'!$B$24),IF(B33="Hauptsaison",IF(C33="Wochenende",'00_Eingabe'!$C$25,'00_Eingabe'!$B$25),IF(B33="Weihnachten",IF(C33="Wochenende",'00_Eingabe'!$C$26,'00_Eingabe'!$B$26),IF(C33="Wochenende",'00_Eingabe'!$C$27,'00_Eingabe'!$B$27))))))</x:f>
        <x:v>0.7</x:v>
      </x:c>
      <x:c r="E33" s="122" t="n">
        <x:f>IF(OR(A33="",D33=""),"",ROUND('00_Eingabe'!$B$8*D33,0))</x:f>
        <x:v>25</x:v>
      </x:c>
      <x:c r="F33" s="122" t="n">
        <x:f>IF(E33="","",ROUND(E33*'00_Eingabe'!$B$18,0))</x:f>
        <x:v>48</x:v>
      </x:c>
      <x:c r="G33" s="123" t="n">
        <x:f>IF(A33="","",IF(O33&lt;&gt;"",O33,IF(B33="Nebensaison",IF(C33="Wochenende",'00_Eingabe'!$E$24,'00_Eingabe'!$D$24),IF(B33="Hauptsaison",IF(C33="Wochenende",'00_Eingabe'!$E$25,'00_Eingabe'!$D$25),IF(B33="Weihnachten",IF(C33="Wochenende",'00_Eingabe'!$E$26,'00_Eingabe'!$D$26),IF(C33="Wochenende",'00_Eingabe'!$E$27,'00_Eingabe'!$D$27))))))</x:f>
        <x:v>0.7</x:v>
      </x:c>
      <x:c r="H33" s="122" t="n">
        <x:f>IF(OR(A33="",G33=""),"",ROUND('00_Eingabe'!$B$9*G33,0))</x:f>
        <x:v>3</x:v>
      </x:c>
      <x:c r="I33" s="122" t="n">
        <x:f>IF(H33="","",ROUND(H33*'00_Eingabe'!$B$19,0))</x:f>
        <x:v>7</x:v>
      </x:c>
      <x:c r="J33" s="122" t="n">
        <x:f>IF(OR(F33="",I33=""),"",F33+I33)</x:f>
        <x:v>55</x:v>
      </x:c>
      <x:c r="K33" s="122" t="n">
        <x:f>IF(J33="","",ROUND(J33*'00_Eingabe'!$B$16*(1+'00_Eingabe'!$B$14),0))</x:f>
        <x:v>63</x:v>
      </x:c>
      <x:c r="L33" s="122" t="n">
        <x:f>IF(B33="Betriebsferien",0,ROUND(J33*'00_Eingabe'!$B$40,0)+IF(C33="Wochenende",'00_Eingabe'!$B$42,'00_Eingabe'!$B$41))</x:f>
        <x:v>55</x:v>
      </x:c>
      <x:c r="M33" s="123" t="n">
        <x:f>IF(J33="","",ROUND(J33*'00_Eingabe'!$B$17*(1+'00_Eingabe'!$B$15),0))</x:f>
        <x:v>63</x:v>
      </x:c>
      <x:c r="N33" s="106"/>
      <x:c r="O33" s="106"/>
      <x:c r="P33" s="116"/>
      <x:c r="Q33" s="213" t="n">
        <x:f>IF(C33="Wochenende",1,0)</x:f>
        <x:v>0</x:v>
      </x:c>
      <x:c r="R33" s="213" t="n">
        <x:f>IF(AND(B33&lt;&gt;"Betriebsferien",OR(WEEKDAY(A33,2)=2,WEEKDAY(A33,2)=4)),1,0)</x:f>
        <x:v>1</x:v>
      </x:c>
      <x:c r="S33" s="214" t="n">
        <x:f>R33*MIN(1,'00_Eingabe'!$B$62/'00_Eingabe'!$B$61)</x:f>
        <x:v>0.5</x:v>
      </x:c>
      <x:c r="T33" s="213" t="n">
        <x:f>IF(B33="Betriebsferien",0,IF(B33="Nebensaison",IF(OR(WEEKDAY(A33,2)=1,WEEKDAY(A33,2)=3,WEEKDAY(A33,2)=5),1,0),IF(C33="Unterwoche",1,0)))</x:f>
        <x:v>0</x:v>
      </x:c>
      <x:c r="U33" s="213" t="n">
        <x:f>IF(B33="Betriebsferien",0,'00_Eingabe'!$G$24)</x:f>
        <x:v>8</x:v>
      </x:c>
    </x:row>
    <x:row r="34">
      <x:c r="A34" s="121" t="n">
        <x:f>IF(ROW()-4&lt;DATE('00_Eingabe'!$B$7+1,1,1)-DATE('00_Eingabe'!$B$7,1,1),DATE('00_Eingabe'!$B$7,1,1)+ROW()-4,"")</x:f>
        <x:v>45688</x:v>
      </x:c>
      <x:c r="B34" s="122" t="str">
        <x:f>IF(A34="","",IF(OR(AND(MONTH(A34)=12,DAY(A34)&gt;=20),AND(MONTH(A34)=1,DAY(A34)&lt;=2)),"Weihnachten",IF(OR(AND(MONTH(A34)=11,DAY(A34)&gt;=24),AND(MONTH(A34)=12,DAY(A34)&lt;=7)),"Betriebsferien",IF(OR(AND(MONTH(A34)=1,DAY(A34)&gt;=3),MONTH(A34)=2,MONTH(A34)=3,MONTH(A34)=4,MONTH(A34)=10,MONTH(A34)=11,AND(MONTH(A34)=12,DAY(A34)&lt;=15)),"Nebensaison","Hauptsaison"))))</x:f>
        <x:v>Nebensaison</x:v>
      </x:c>
      <x:c r="C34" s="122" t="str">
        <x:f>IF(A34="","",IF(WEEKDAY(A34,2)&gt;=6,"Wochenende","Unterwoche"))</x:f>
        <x:v>Unterwoche</x:v>
      </x:c>
      <x:c r="D34" s="123" t="n">
        <x:f>IF(A34="","",IF(N34&lt;&gt;"",N34,IF(B34="Nebensaison",IF(C34="Wochenende",'00_Eingabe'!$C$24,'00_Eingabe'!$B$24),IF(B34="Hauptsaison",IF(C34="Wochenende",'00_Eingabe'!$C$25,'00_Eingabe'!$B$25),IF(B34="Weihnachten",IF(C34="Wochenende",'00_Eingabe'!$C$26,'00_Eingabe'!$B$26),IF(C34="Wochenende",'00_Eingabe'!$C$27,'00_Eingabe'!$B$27))))))</x:f>
        <x:v>0.7</x:v>
      </x:c>
      <x:c r="E34" s="122" t="n">
        <x:f>IF(OR(A34="",D34=""),"",ROUND('00_Eingabe'!$B$8*D34,0))</x:f>
        <x:v>25</x:v>
      </x:c>
      <x:c r="F34" s="122" t="n">
        <x:f>IF(E34="","",ROUND(E34*'00_Eingabe'!$B$18,0))</x:f>
        <x:v>48</x:v>
      </x:c>
      <x:c r="G34" s="123" t="n">
        <x:f>IF(A34="","",IF(O34&lt;&gt;"",O34,IF(B34="Nebensaison",IF(C34="Wochenende",'00_Eingabe'!$E$24,'00_Eingabe'!$D$24),IF(B34="Hauptsaison",IF(C34="Wochenende",'00_Eingabe'!$E$25,'00_Eingabe'!$D$25),IF(B34="Weihnachten",IF(C34="Wochenende",'00_Eingabe'!$E$26,'00_Eingabe'!$D$26),IF(C34="Wochenende",'00_Eingabe'!$E$27,'00_Eingabe'!$D$27))))))</x:f>
        <x:v>0.7</x:v>
      </x:c>
      <x:c r="H34" s="122" t="n">
        <x:f>IF(OR(A34="",G34=""),"",ROUND('00_Eingabe'!$B$9*G34,0))</x:f>
        <x:v>3</x:v>
      </x:c>
      <x:c r="I34" s="122" t="n">
        <x:f>IF(H34="","",ROUND(H34*'00_Eingabe'!$B$19,0))</x:f>
        <x:v>7</x:v>
      </x:c>
      <x:c r="J34" s="122" t="n">
        <x:f>IF(OR(F34="",I34=""),"",F34+I34)</x:f>
        <x:v>55</x:v>
      </x:c>
      <x:c r="K34" s="122" t="n">
        <x:f>IF(J34="","",ROUND(J34*'00_Eingabe'!$B$16*(1+'00_Eingabe'!$B$14),0))</x:f>
        <x:v>63</x:v>
      </x:c>
      <x:c r="L34" s="122" t="n">
        <x:f>IF(B34="Betriebsferien",0,ROUND(J34*'00_Eingabe'!$B$40,0)+IF(C34="Wochenende",'00_Eingabe'!$B$42,'00_Eingabe'!$B$41))</x:f>
        <x:v>55</x:v>
      </x:c>
      <x:c r="M34" s="123" t="n">
        <x:f>IF(J34="","",ROUND(J34*'00_Eingabe'!$B$17*(1+'00_Eingabe'!$B$15),0))</x:f>
        <x:v>63</x:v>
      </x:c>
      <x:c r="N34" s="106"/>
      <x:c r="O34" s="106"/>
      <x:c r="P34" s="116"/>
      <x:c r="Q34" s="213" t="n">
        <x:f>IF(C34="Wochenende",1,0)</x:f>
        <x:v>0</x:v>
      </x:c>
      <x:c r="R34" s="213" t="n">
        <x:f>IF(AND(B34&lt;&gt;"Betriebsferien",OR(WEEKDAY(A34,2)=2,WEEKDAY(A34,2)=4)),1,0)</x:f>
        <x:v>0</x:v>
      </x:c>
      <x:c r="S34" s="214" t="n">
        <x:f>R34*MIN(1,'00_Eingabe'!$B$62/'00_Eingabe'!$B$61)</x:f>
        <x:v>0</x:v>
      </x:c>
      <x:c r="T34" s="213" t="n">
        <x:f>IF(B34="Betriebsferien",0,IF(B34="Nebensaison",IF(OR(WEEKDAY(A34,2)=1,WEEKDAY(A34,2)=3,WEEKDAY(A34,2)=5),1,0),IF(C34="Unterwoche",1,0)))</x:f>
        <x:v>1</x:v>
      </x:c>
      <x:c r="U34" s="213" t="n">
        <x:f>IF(B34="Betriebsferien",0,'00_Eingabe'!$G$24)</x:f>
        <x:v>8</x:v>
      </x:c>
    </x:row>
    <x:row r="35">
      <x:c r="A35" s="121" t="n">
        <x:f>IF(ROW()-4&lt;DATE('00_Eingabe'!$B$7+1,1,1)-DATE('00_Eingabe'!$B$7,1,1),DATE('00_Eingabe'!$B$7,1,1)+ROW()-4,"")</x:f>
        <x:v>45689</x:v>
      </x:c>
      <x:c r="B35" s="122" t="str">
        <x:f>IF(A35="","",IF(OR(AND(MONTH(A35)=12,DAY(A35)&gt;=20),AND(MONTH(A35)=1,DAY(A35)&lt;=2)),"Weihnachten",IF(OR(AND(MONTH(A35)=11,DAY(A35)&gt;=24),AND(MONTH(A35)=12,DAY(A35)&lt;=7)),"Betriebsferien",IF(OR(AND(MONTH(A35)=1,DAY(A35)&gt;=3),MONTH(A35)=2,MONTH(A35)=3,MONTH(A35)=4,MONTH(A35)=10,MONTH(A35)=11,AND(MONTH(A35)=12,DAY(A35)&lt;=15)),"Nebensaison","Hauptsaison"))))</x:f>
        <x:v>Nebensaison</x:v>
      </x:c>
      <x:c r="C35" s="122" t="str">
        <x:f>IF(A35="","",IF(WEEKDAY(A35,2)&gt;=6,"Wochenende","Unterwoche"))</x:f>
        <x:v>Wochenende</x:v>
      </x:c>
      <x:c r="D35" s="123" t="n">
        <x:f>IF(A35="","",IF(N35&lt;&gt;"",N35,IF(B35="Nebensaison",IF(C35="Wochenende",'00_Eingabe'!$C$24,'00_Eingabe'!$B$24),IF(B35="Hauptsaison",IF(C35="Wochenende",'00_Eingabe'!$C$25,'00_Eingabe'!$B$25),IF(B35="Weihnachten",IF(C35="Wochenende",'00_Eingabe'!$C$26,'00_Eingabe'!$B$26),IF(C35="Wochenende",'00_Eingabe'!$C$27,'00_Eingabe'!$B$27))))))</x:f>
        <x:v>0.75</x:v>
      </x:c>
      <x:c r="E35" s="122" t="n">
        <x:f>IF(OR(A35="",D35=""),"",ROUND('00_Eingabe'!$B$8*D35,0))</x:f>
        <x:v>26</x:v>
      </x:c>
      <x:c r="F35" s="122" t="n">
        <x:f>IF(E35="","",ROUND(E35*'00_Eingabe'!$B$18,0))</x:f>
        <x:v>49</x:v>
      </x:c>
      <x:c r="G35" s="123" t="n">
        <x:f>IF(A35="","",IF(O35&lt;&gt;"",O35,IF(B35="Nebensaison",IF(C35="Wochenende",'00_Eingabe'!$E$24,'00_Eingabe'!$D$24),IF(B35="Hauptsaison",IF(C35="Wochenende",'00_Eingabe'!$E$25,'00_Eingabe'!$D$25),IF(B35="Weihnachten",IF(C35="Wochenende",'00_Eingabe'!$E$26,'00_Eingabe'!$D$26),IF(C35="Wochenende",'00_Eingabe'!$E$27,'00_Eingabe'!$D$27))))))</x:f>
        <x:v>0.75</x:v>
      </x:c>
      <x:c r="H35" s="122" t="n">
        <x:f>IF(OR(A35="",G35=""),"",ROUND('00_Eingabe'!$B$9*G35,0))</x:f>
        <x:v>3</x:v>
      </x:c>
      <x:c r="I35" s="122" t="n">
        <x:f>IF(H35="","",ROUND(H35*'00_Eingabe'!$B$19,0))</x:f>
        <x:v>7</x:v>
      </x:c>
      <x:c r="J35" s="122" t="n">
        <x:f>IF(OR(F35="",I35=""),"",F35+I35)</x:f>
        <x:v>56</x:v>
      </x:c>
      <x:c r="K35" s="122" t="n">
        <x:f>IF(J35="","",ROUND(J35*'00_Eingabe'!$B$16*(1+'00_Eingabe'!$B$14),0))</x:f>
        <x:v>64</x:v>
      </x:c>
      <x:c r="L35" s="122" t="n">
        <x:f>IF(B35="Betriebsferien",0,ROUND(J35*'00_Eingabe'!$B$40,0)+IF(C35="Wochenende",'00_Eingabe'!$B$42,'00_Eingabe'!$B$41))</x:f>
        <x:v>80</x:v>
      </x:c>
      <x:c r="M35" s="123" t="n">
        <x:f>IF(J35="","",ROUND(J35*'00_Eingabe'!$B$17*(1+'00_Eingabe'!$B$15),0))</x:f>
        <x:v>64</x:v>
      </x:c>
      <x:c r="N35" s="106"/>
      <x:c r="O35" s="106"/>
      <x:c r="P35" s="116"/>
      <x:c r="Q35" s="213" t="n">
        <x:f>IF(C35="Wochenende",1,0)</x:f>
        <x:v>1</x:v>
      </x:c>
      <x:c r="R35" s="213" t="n">
        <x:f>IF(AND(B35&lt;&gt;"Betriebsferien",OR(WEEKDAY(A35,2)=2,WEEKDAY(A35,2)=4)),1,0)</x:f>
        <x:v>0</x:v>
      </x:c>
      <x:c r="S35" s="214" t="n">
        <x:f>R35*MIN(1,'00_Eingabe'!$B$62/'00_Eingabe'!$B$61)</x:f>
        <x:v>0</x:v>
      </x:c>
      <x:c r="T35" s="213" t="n">
        <x:f>IF(B35="Betriebsferien",0,IF(B35="Nebensaison",IF(OR(WEEKDAY(A35,2)=1,WEEKDAY(A35,2)=3,WEEKDAY(A35,2)=5),1,0),IF(C35="Unterwoche",1,0)))</x:f>
        <x:v>0</x:v>
      </x:c>
      <x:c r="U35" s="213" t="n">
        <x:f>IF(B35="Betriebsferien",0,'00_Eingabe'!$G$24)</x:f>
        <x:v>8</x:v>
      </x:c>
    </x:row>
    <x:row r="36">
      <x:c r="A36" s="121" t="n">
        <x:f>IF(ROW()-4&lt;DATE('00_Eingabe'!$B$7+1,1,1)-DATE('00_Eingabe'!$B$7,1,1),DATE('00_Eingabe'!$B$7,1,1)+ROW()-4,"")</x:f>
        <x:v>45690</x:v>
      </x:c>
      <x:c r="B36" s="122" t="str">
        <x:f>IF(A36="","",IF(OR(AND(MONTH(A36)=12,DAY(A36)&gt;=20),AND(MONTH(A36)=1,DAY(A36)&lt;=2)),"Weihnachten",IF(OR(AND(MONTH(A36)=11,DAY(A36)&gt;=24),AND(MONTH(A36)=12,DAY(A36)&lt;=7)),"Betriebsferien",IF(OR(AND(MONTH(A36)=1,DAY(A36)&gt;=3),MONTH(A36)=2,MONTH(A36)=3,MONTH(A36)=4,MONTH(A36)=10,MONTH(A36)=11,AND(MONTH(A36)=12,DAY(A36)&lt;=15)),"Nebensaison","Hauptsaison"))))</x:f>
        <x:v>Nebensaison</x:v>
      </x:c>
      <x:c r="C36" s="122" t="str">
        <x:f>IF(A36="","",IF(WEEKDAY(A36,2)&gt;=6,"Wochenende","Unterwoche"))</x:f>
        <x:v>Wochenende</x:v>
      </x:c>
      <x:c r="D36" s="123" t="n">
        <x:f>IF(A36="","",IF(N36&lt;&gt;"",N36,IF(B36="Nebensaison",IF(C36="Wochenende",'00_Eingabe'!$C$24,'00_Eingabe'!$B$24),IF(B36="Hauptsaison",IF(C36="Wochenende",'00_Eingabe'!$C$25,'00_Eingabe'!$B$25),IF(B36="Weihnachten",IF(C36="Wochenende",'00_Eingabe'!$C$26,'00_Eingabe'!$B$26),IF(C36="Wochenende",'00_Eingabe'!$C$27,'00_Eingabe'!$B$27))))))</x:f>
        <x:v>0.75</x:v>
      </x:c>
      <x:c r="E36" s="122" t="n">
        <x:f>IF(OR(A36="",D36=""),"",ROUND('00_Eingabe'!$B$8*D36,0))</x:f>
        <x:v>26</x:v>
      </x:c>
      <x:c r="F36" s="122" t="n">
        <x:f>IF(E36="","",ROUND(E36*'00_Eingabe'!$B$18,0))</x:f>
        <x:v>49</x:v>
      </x:c>
      <x:c r="G36" s="123" t="n">
        <x:f>IF(A36="","",IF(O36&lt;&gt;"",O36,IF(B36="Nebensaison",IF(C36="Wochenende",'00_Eingabe'!$E$24,'00_Eingabe'!$D$24),IF(B36="Hauptsaison",IF(C36="Wochenende",'00_Eingabe'!$E$25,'00_Eingabe'!$D$25),IF(B36="Weihnachten",IF(C36="Wochenende",'00_Eingabe'!$E$26,'00_Eingabe'!$D$26),IF(C36="Wochenende",'00_Eingabe'!$E$27,'00_Eingabe'!$D$27))))))</x:f>
        <x:v>0.75</x:v>
      </x:c>
      <x:c r="H36" s="122" t="n">
        <x:f>IF(OR(A36="",G36=""),"",ROUND('00_Eingabe'!$B$9*G36,0))</x:f>
        <x:v>3</x:v>
      </x:c>
      <x:c r="I36" s="122" t="n">
        <x:f>IF(H36="","",ROUND(H36*'00_Eingabe'!$B$19,0))</x:f>
        <x:v>7</x:v>
      </x:c>
      <x:c r="J36" s="122" t="n">
        <x:f>IF(OR(F36="",I36=""),"",F36+I36)</x:f>
        <x:v>56</x:v>
      </x:c>
      <x:c r="K36" s="122" t="n">
        <x:f>IF(J36="","",ROUND(J36*'00_Eingabe'!$B$16*(1+'00_Eingabe'!$B$14),0))</x:f>
        <x:v>64</x:v>
      </x:c>
      <x:c r="L36" s="122" t="n">
        <x:f>IF(B36="Betriebsferien",0,ROUND(J36*'00_Eingabe'!$B$40,0)+IF(C36="Wochenende",'00_Eingabe'!$B$42,'00_Eingabe'!$B$41))</x:f>
        <x:v>80</x:v>
      </x:c>
      <x:c r="M36" s="123" t="n">
        <x:f>IF(J36="","",ROUND(J36*'00_Eingabe'!$B$17*(1+'00_Eingabe'!$B$15),0))</x:f>
        <x:v>64</x:v>
      </x:c>
      <x:c r="N36" s="106"/>
      <x:c r="O36" s="106"/>
      <x:c r="P36" s="116"/>
      <x:c r="Q36" s="213" t="n">
        <x:f>IF(C36="Wochenende",1,0)</x:f>
        <x:v>1</x:v>
      </x:c>
      <x:c r="R36" s="213" t="n">
        <x:f>IF(AND(B36&lt;&gt;"Betriebsferien",OR(WEEKDAY(A36,2)=2,WEEKDAY(A36,2)=4)),1,0)</x:f>
        <x:v>0</x:v>
      </x:c>
      <x:c r="S36" s="214" t="n">
        <x:f>R36*MIN(1,'00_Eingabe'!$B$62/'00_Eingabe'!$B$61)</x:f>
        <x:v>0</x:v>
      </x:c>
      <x:c r="T36" s="213" t="n">
        <x:f>IF(B36="Betriebsferien",0,IF(B36="Nebensaison",IF(OR(WEEKDAY(A36,2)=1,WEEKDAY(A36,2)=3,WEEKDAY(A36,2)=5),1,0),IF(C36="Unterwoche",1,0)))</x:f>
        <x:v>0</x:v>
      </x:c>
      <x:c r="U36" s="213" t="n">
        <x:f>IF(B36="Betriebsferien",0,'00_Eingabe'!$G$24)</x:f>
        <x:v>8</x:v>
      </x:c>
    </x:row>
    <x:row r="37">
      <x:c r="A37" s="121" t="n">
        <x:f>IF(ROW()-4&lt;DATE('00_Eingabe'!$B$7+1,1,1)-DATE('00_Eingabe'!$B$7,1,1),DATE('00_Eingabe'!$B$7,1,1)+ROW()-4,"")</x:f>
        <x:v>45691</x:v>
      </x:c>
      <x:c r="B37" s="122" t="str">
        <x:f>IF(A37="","",IF(OR(AND(MONTH(A37)=12,DAY(A37)&gt;=20),AND(MONTH(A37)=1,DAY(A37)&lt;=2)),"Weihnachten",IF(OR(AND(MONTH(A37)=11,DAY(A37)&gt;=24),AND(MONTH(A37)=12,DAY(A37)&lt;=7)),"Betriebsferien",IF(OR(AND(MONTH(A37)=1,DAY(A37)&gt;=3),MONTH(A37)=2,MONTH(A37)=3,MONTH(A37)=4,MONTH(A37)=10,MONTH(A37)=11,AND(MONTH(A37)=12,DAY(A37)&lt;=15)),"Nebensaison","Hauptsaison"))))</x:f>
        <x:v>Nebensaison</x:v>
      </x:c>
      <x:c r="C37" s="122" t="str">
        <x:f>IF(A37="","",IF(WEEKDAY(A37,2)&gt;=6,"Wochenende","Unterwoche"))</x:f>
        <x:v>Unterwoche</x:v>
      </x:c>
      <x:c r="D37" s="123" t="n">
        <x:f>IF(A37="","",IF(N37&lt;&gt;"",N37,IF(B37="Nebensaison",IF(C37="Wochenende",'00_Eingabe'!$C$24,'00_Eingabe'!$B$24),IF(B37="Hauptsaison",IF(C37="Wochenende",'00_Eingabe'!$C$25,'00_Eingabe'!$B$25),IF(B37="Weihnachten",IF(C37="Wochenende",'00_Eingabe'!$C$26,'00_Eingabe'!$B$26),IF(C37="Wochenende",'00_Eingabe'!$C$27,'00_Eingabe'!$B$27))))))</x:f>
        <x:v>0.7</x:v>
      </x:c>
      <x:c r="E37" s="122" t="n">
        <x:f>IF(OR(A37="",D37=""),"",ROUND('00_Eingabe'!$B$8*D37,0))</x:f>
        <x:v>25</x:v>
      </x:c>
      <x:c r="F37" s="122" t="n">
        <x:f>IF(E37="","",ROUND(E37*'00_Eingabe'!$B$18,0))</x:f>
        <x:v>48</x:v>
      </x:c>
      <x:c r="G37" s="123" t="n">
        <x:f>IF(A37="","",IF(O37&lt;&gt;"",O37,IF(B37="Nebensaison",IF(C37="Wochenende",'00_Eingabe'!$E$24,'00_Eingabe'!$D$24),IF(B37="Hauptsaison",IF(C37="Wochenende",'00_Eingabe'!$E$25,'00_Eingabe'!$D$25),IF(B37="Weihnachten",IF(C37="Wochenende",'00_Eingabe'!$E$26,'00_Eingabe'!$D$26),IF(C37="Wochenende",'00_Eingabe'!$E$27,'00_Eingabe'!$D$27))))))</x:f>
        <x:v>0.7</x:v>
      </x:c>
      <x:c r="H37" s="122" t="n">
        <x:f>IF(OR(A37="",G37=""),"",ROUND('00_Eingabe'!$B$9*G37,0))</x:f>
        <x:v>3</x:v>
      </x:c>
      <x:c r="I37" s="122" t="n">
        <x:f>IF(H37="","",ROUND(H37*'00_Eingabe'!$B$19,0))</x:f>
        <x:v>7</x:v>
      </x:c>
      <x:c r="J37" s="122" t="n">
        <x:f>IF(OR(F37="",I37=""),"",F37+I37)</x:f>
        <x:v>55</x:v>
      </x:c>
      <x:c r="K37" s="122" t="n">
        <x:f>IF(J37="","",ROUND(J37*'00_Eingabe'!$B$16*(1+'00_Eingabe'!$B$14),0))</x:f>
        <x:v>63</x:v>
      </x:c>
      <x:c r="L37" s="122" t="n">
        <x:f>IF(B37="Betriebsferien",0,ROUND(J37*'00_Eingabe'!$B$40,0)+IF(C37="Wochenende",'00_Eingabe'!$B$42,'00_Eingabe'!$B$41))</x:f>
        <x:v>55</x:v>
      </x:c>
      <x:c r="M37" s="123" t="n">
        <x:f>IF(J37="","",ROUND(J37*'00_Eingabe'!$B$17*(1+'00_Eingabe'!$B$15),0))</x:f>
        <x:v>63</x:v>
      </x:c>
      <x:c r="N37" s="106"/>
      <x:c r="O37" s="106"/>
      <x:c r="P37" s="116"/>
      <x:c r="Q37" s="213" t="n">
        <x:f>IF(C37="Wochenende",1,0)</x:f>
        <x:v>0</x:v>
      </x:c>
      <x:c r="R37" s="213" t="n">
        <x:f>IF(AND(B37&lt;&gt;"Betriebsferien",OR(WEEKDAY(A37,2)=2,WEEKDAY(A37,2)=4)),1,0)</x:f>
        <x:v>0</x:v>
      </x:c>
      <x:c r="S37" s="214" t="n">
        <x:f>R37*MIN(1,'00_Eingabe'!$B$62/'00_Eingabe'!$B$61)</x:f>
        <x:v>0</x:v>
      </x:c>
      <x:c r="T37" s="213" t="n">
        <x:f>IF(B37="Betriebsferien",0,IF(B37="Nebensaison",IF(OR(WEEKDAY(A37,2)=1,WEEKDAY(A37,2)=3,WEEKDAY(A37,2)=5),1,0),IF(C37="Unterwoche",1,0)))</x:f>
        <x:v>1</x:v>
      </x:c>
      <x:c r="U37" s="213" t="n">
        <x:f>IF(B37="Betriebsferien",0,'00_Eingabe'!$G$24)</x:f>
        <x:v>8</x:v>
      </x:c>
    </x:row>
    <x:row r="38">
      <x:c r="A38" s="121" t="n">
        <x:f>IF(ROW()-4&lt;DATE('00_Eingabe'!$B$7+1,1,1)-DATE('00_Eingabe'!$B$7,1,1),DATE('00_Eingabe'!$B$7,1,1)+ROW()-4,"")</x:f>
        <x:v>45692</x:v>
      </x:c>
      <x:c r="B38" s="122" t="str">
        <x:f>IF(A38="","",IF(OR(AND(MONTH(A38)=12,DAY(A38)&gt;=20),AND(MONTH(A38)=1,DAY(A38)&lt;=2)),"Weihnachten",IF(OR(AND(MONTH(A38)=11,DAY(A38)&gt;=24),AND(MONTH(A38)=12,DAY(A38)&lt;=7)),"Betriebsferien",IF(OR(AND(MONTH(A38)=1,DAY(A38)&gt;=3),MONTH(A38)=2,MONTH(A38)=3,MONTH(A38)=4,MONTH(A38)=10,MONTH(A38)=11,AND(MONTH(A38)=12,DAY(A38)&lt;=15)),"Nebensaison","Hauptsaison"))))</x:f>
        <x:v>Nebensaison</x:v>
      </x:c>
      <x:c r="C38" s="122" t="str">
        <x:f>IF(A38="","",IF(WEEKDAY(A38,2)&gt;=6,"Wochenende","Unterwoche"))</x:f>
        <x:v>Unterwoche</x:v>
      </x:c>
      <x:c r="D38" s="123" t="n">
        <x:f>IF(A38="","",IF(N38&lt;&gt;"",N38,IF(B38="Nebensaison",IF(C38="Wochenende",'00_Eingabe'!$C$24,'00_Eingabe'!$B$24),IF(B38="Hauptsaison",IF(C38="Wochenende",'00_Eingabe'!$C$25,'00_Eingabe'!$B$25),IF(B38="Weihnachten",IF(C38="Wochenende",'00_Eingabe'!$C$26,'00_Eingabe'!$B$26),IF(C38="Wochenende",'00_Eingabe'!$C$27,'00_Eingabe'!$B$27))))))</x:f>
        <x:v>0.7</x:v>
      </x:c>
      <x:c r="E38" s="122" t="n">
        <x:f>IF(OR(A38="",D38=""),"",ROUND('00_Eingabe'!$B$8*D38,0))</x:f>
        <x:v>25</x:v>
      </x:c>
      <x:c r="F38" s="122" t="n">
        <x:f>IF(E38="","",ROUND(E38*'00_Eingabe'!$B$18,0))</x:f>
        <x:v>48</x:v>
      </x:c>
      <x:c r="G38" s="123" t="n">
        <x:f>IF(A38="","",IF(O38&lt;&gt;"",O38,IF(B38="Nebensaison",IF(C38="Wochenende",'00_Eingabe'!$E$24,'00_Eingabe'!$D$24),IF(B38="Hauptsaison",IF(C38="Wochenende",'00_Eingabe'!$E$25,'00_Eingabe'!$D$25),IF(B38="Weihnachten",IF(C38="Wochenende",'00_Eingabe'!$E$26,'00_Eingabe'!$D$26),IF(C38="Wochenende",'00_Eingabe'!$E$27,'00_Eingabe'!$D$27))))))</x:f>
        <x:v>0.7</x:v>
      </x:c>
      <x:c r="H38" s="122" t="n">
        <x:f>IF(OR(A38="",G38=""),"",ROUND('00_Eingabe'!$B$9*G38,0))</x:f>
        <x:v>3</x:v>
      </x:c>
      <x:c r="I38" s="122" t="n">
        <x:f>IF(H38="","",ROUND(H38*'00_Eingabe'!$B$19,0))</x:f>
        <x:v>7</x:v>
      </x:c>
      <x:c r="J38" s="122" t="n">
        <x:f>IF(OR(F38="",I38=""),"",F38+I38)</x:f>
        <x:v>55</x:v>
      </x:c>
      <x:c r="K38" s="122" t="n">
        <x:f>IF(J38="","",ROUND(J38*'00_Eingabe'!$B$16*(1+'00_Eingabe'!$B$14),0))</x:f>
        <x:v>63</x:v>
      </x:c>
      <x:c r="L38" s="122" t="n">
        <x:f>IF(B38="Betriebsferien",0,ROUND(J38*'00_Eingabe'!$B$40,0)+IF(C38="Wochenende",'00_Eingabe'!$B$42,'00_Eingabe'!$B$41))</x:f>
        <x:v>55</x:v>
      </x:c>
      <x:c r="M38" s="123" t="n">
        <x:f>IF(J38="","",ROUND(J38*'00_Eingabe'!$B$17*(1+'00_Eingabe'!$B$15),0))</x:f>
        <x:v>63</x:v>
      </x:c>
      <x:c r="N38" s="106"/>
      <x:c r="O38" s="106"/>
      <x:c r="P38" s="116"/>
      <x:c r="Q38" s="213" t="n">
        <x:f>IF(C38="Wochenende",1,0)</x:f>
        <x:v>0</x:v>
      </x:c>
      <x:c r="R38" s="213" t="n">
        <x:f>IF(AND(B38&lt;&gt;"Betriebsferien",OR(WEEKDAY(A38,2)=2,WEEKDAY(A38,2)=4)),1,0)</x:f>
        <x:v>1</x:v>
      </x:c>
      <x:c r="S38" s="214" t="n">
        <x:f>R38*MIN(1,'00_Eingabe'!$B$62/'00_Eingabe'!$B$61)</x:f>
        <x:v>0.5</x:v>
      </x:c>
      <x:c r="T38" s="213" t="n">
        <x:f>IF(B38="Betriebsferien",0,IF(B38="Nebensaison",IF(OR(WEEKDAY(A38,2)=1,WEEKDAY(A38,2)=3,WEEKDAY(A38,2)=5),1,0),IF(C38="Unterwoche",1,0)))</x:f>
        <x:v>0</x:v>
      </x:c>
      <x:c r="U38" s="213" t="n">
        <x:f>IF(B38="Betriebsferien",0,'00_Eingabe'!$G$24)</x:f>
        <x:v>8</x:v>
      </x:c>
    </x:row>
    <x:row r="39">
      <x:c r="A39" s="121" t="n">
        <x:f>IF(ROW()-4&lt;DATE('00_Eingabe'!$B$7+1,1,1)-DATE('00_Eingabe'!$B$7,1,1),DATE('00_Eingabe'!$B$7,1,1)+ROW()-4,"")</x:f>
        <x:v>45693</x:v>
      </x:c>
      <x:c r="B39" s="122" t="str">
        <x:f>IF(A39="","",IF(OR(AND(MONTH(A39)=12,DAY(A39)&gt;=20),AND(MONTH(A39)=1,DAY(A39)&lt;=2)),"Weihnachten",IF(OR(AND(MONTH(A39)=11,DAY(A39)&gt;=24),AND(MONTH(A39)=12,DAY(A39)&lt;=7)),"Betriebsferien",IF(OR(AND(MONTH(A39)=1,DAY(A39)&gt;=3),MONTH(A39)=2,MONTH(A39)=3,MONTH(A39)=4,MONTH(A39)=10,MONTH(A39)=11,AND(MONTH(A39)=12,DAY(A39)&lt;=15)),"Nebensaison","Hauptsaison"))))</x:f>
        <x:v>Nebensaison</x:v>
      </x:c>
      <x:c r="C39" s="122" t="str">
        <x:f>IF(A39="","",IF(WEEKDAY(A39,2)&gt;=6,"Wochenende","Unterwoche"))</x:f>
        <x:v>Unterwoche</x:v>
      </x:c>
      <x:c r="D39" s="123" t="n">
        <x:f>IF(A39="","",IF(N39&lt;&gt;"",N39,IF(B39="Nebensaison",IF(C39="Wochenende",'00_Eingabe'!$C$24,'00_Eingabe'!$B$24),IF(B39="Hauptsaison",IF(C39="Wochenende",'00_Eingabe'!$C$25,'00_Eingabe'!$B$25),IF(B39="Weihnachten",IF(C39="Wochenende",'00_Eingabe'!$C$26,'00_Eingabe'!$B$26),IF(C39="Wochenende",'00_Eingabe'!$C$27,'00_Eingabe'!$B$27))))))</x:f>
        <x:v>0.7</x:v>
      </x:c>
      <x:c r="E39" s="122" t="n">
        <x:f>IF(OR(A39="",D39=""),"",ROUND('00_Eingabe'!$B$8*D39,0))</x:f>
        <x:v>25</x:v>
      </x:c>
      <x:c r="F39" s="122" t="n">
        <x:f>IF(E39="","",ROUND(E39*'00_Eingabe'!$B$18,0))</x:f>
        <x:v>48</x:v>
      </x:c>
      <x:c r="G39" s="123" t="n">
        <x:f>IF(A39="","",IF(O39&lt;&gt;"",O39,IF(B39="Nebensaison",IF(C39="Wochenende",'00_Eingabe'!$E$24,'00_Eingabe'!$D$24),IF(B39="Hauptsaison",IF(C39="Wochenende",'00_Eingabe'!$E$25,'00_Eingabe'!$D$25),IF(B39="Weihnachten",IF(C39="Wochenende",'00_Eingabe'!$E$26,'00_Eingabe'!$D$26),IF(C39="Wochenende",'00_Eingabe'!$E$27,'00_Eingabe'!$D$27))))))</x:f>
        <x:v>0.7</x:v>
      </x:c>
      <x:c r="H39" s="122" t="n">
        <x:f>IF(OR(A39="",G39=""),"",ROUND('00_Eingabe'!$B$9*G39,0))</x:f>
        <x:v>3</x:v>
      </x:c>
      <x:c r="I39" s="122" t="n">
        <x:f>IF(H39="","",ROUND(H39*'00_Eingabe'!$B$19,0))</x:f>
        <x:v>7</x:v>
      </x:c>
      <x:c r="J39" s="122" t="n">
        <x:f>IF(OR(F39="",I39=""),"",F39+I39)</x:f>
        <x:v>55</x:v>
      </x:c>
      <x:c r="K39" s="122" t="n">
        <x:f>IF(J39="","",ROUND(J39*'00_Eingabe'!$B$16*(1+'00_Eingabe'!$B$14),0))</x:f>
        <x:v>63</x:v>
      </x:c>
      <x:c r="L39" s="122" t="n">
        <x:f>IF(B39="Betriebsferien",0,ROUND(J39*'00_Eingabe'!$B$40,0)+IF(C39="Wochenende",'00_Eingabe'!$B$42,'00_Eingabe'!$B$41))</x:f>
        <x:v>55</x:v>
      </x:c>
      <x:c r="M39" s="123" t="n">
        <x:f>IF(J39="","",ROUND(J39*'00_Eingabe'!$B$17*(1+'00_Eingabe'!$B$15),0))</x:f>
        <x:v>63</x:v>
      </x:c>
      <x:c r="N39" s="106"/>
      <x:c r="O39" s="106"/>
      <x:c r="P39" s="116"/>
      <x:c r="Q39" s="213" t="n">
        <x:f>IF(C39="Wochenende",1,0)</x:f>
        <x:v>0</x:v>
      </x:c>
      <x:c r="R39" s="213" t="n">
        <x:f>IF(AND(B39&lt;&gt;"Betriebsferien",OR(WEEKDAY(A39,2)=2,WEEKDAY(A39,2)=4)),1,0)</x:f>
        <x:v>0</x:v>
      </x:c>
      <x:c r="S39" s="214" t="n">
        <x:f>R39*MIN(1,'00_Eingabe'!$B$62/'00_Eingabe'!$B$61)</x:f>
        <x:v>0</x:v>
      </x:c>
      <x:c r="T39" s="213" t="n">
        <x:f>IF(B39="Betriebsferien",0,IF(B39="Nebensaison",IF(OR(WEEKDAY(A39,2)=1,WEEKDAY(A39,2)=3,WEEKDAY(A39,2)=5),1,0),IF(C39="Unterwoche",1,0)))</x:f>
        <x:v>1</x:v>
      </x:c>
      <x:c r="U39" s="213" t="n">
        <x:f>IF(B39="Betriebsferien",0,'00_Eingabe'!$G$24)</x:f>
        <x:v>8</x:v>
      </x:c>
    </x:row>
    <x:row r="40">
      <x:c r="A40" s="121" t="n">
        <x:f>IF(ROW()-4&lt;DATE('00_Eingabe'!$B$7+1,1,1)-DATE('00_Eingabe'!$B$7,1,1),DATE('00_Eingabe'!$B$7,1,1)+ROW()-4,"")</x:f>
        <x:v>45694</x:v>
      </x:c>
      <x:c r="B40" s="122" t="str">
        <x:f>IF(A40="","",IF(OR(AND(MONTH(A40)=12,DAY(A40)&gt;=20),AND(MONTH(A40)=1,DAY(A40)&lt;=2)),"Weihnachten",IF(OR(AND(MONTH(A40)=11,DAY(A40)&gt;=24),AND(MONTH(A40)=12,DAY(A40)&lt;=7)),"Betriebsferien",IF(OR(AND(MONTH(A40)=1,DAY(A40)&gt;=3),MONTH(A40)=2,MONTH(A40)=3,MONTH(A40)=4,MONTH(A40)=10,MONTH(A40)=11,AND(MONTH(A40)=12,DAY(A40)&lt;=15)),"Nebensaison","Hauptsaison"))))</x:f>
        <x:v>Nebensaison</x:v>
      </x:c>
      <x:c r="C40" s="122" t="str">
        <x:f>IF(A40="","",IF(WEEKDAY(A40,2)&gt;=6,"Wochenende","Unterwoche"))</x:f>
        <x:v>Unterwoche</x:v>
      </x:c>
      <x:c r="D40" s="123" t="n">
        <x:f>IF(A40="","",IF(N40&lt;&gt;"",N40,IF(B40="Nebensaison",IF(C40="Wochenende",'00_Eingabe'!$C$24,'00_Eingabe'!$B$24),IF(B40="Hauptsaison",IF(C40="Wochenende",'00_Eingabe'!$C$25,'00_Eingabe'!$B$25),IF(B40="Weihnachten",IF(C40="Wochenende",'00_Eingabe'!$C$26,'00_Eingabe'!$B$26),IF(C40="Wochenende",'00_Eingabe'!$C$27,'00_Eingabe'!$B$27))))))</x:f>
        <x:v>0.7</x:v>
      </x:c>
      <x:c r="E40" s="122" t="n">
        <x:f>IF(OR(A40="",D40=""),"",ROUND('00_Eingabe'!$B$8*D40,0))</x:f>
        <x:v>25</x:v>
      </x:c>
      <x:c r="F40" s="122" t="n">
        <x:f>IF(E40="","",ROUND(E40*'00_Eingabe'!$B$18,0))</x:f>
        <x:v>48</x:v>
      </x:c>
      <x:c r="G40" s="123" t="n">
        <x:f>IF(A40="","",IF(O40&lt;&gt;"",O40,IF(B40="Nebensaison",IF(C40="Wochenende",'00_Eingabe'!$E$24,'00_Eingabe'!$D$24),IF(B40="Hauptsaison",IF(C40="Wochenende",'00_Eingabe'!$E$25,'00_Eingabe'!$D$25),IF(B40="Weihnachten",IF(C40="Wochenende",'00_Eingabe'!$E$26,'00_Eingabe'!$D$26),IF(C40="Wochenende",'00_Eingabe'!$E$27,'00_Eingabe'!$D$27))))))</x:f>
        <x:v>0.7</x:v>
      </x:c>
      <x:c r="H40" s="122" t="n">
        <x:f>IF(OR(A40="",G40=""),"",ROUND('00_Eingabe'!$B$9*G40,0))</x:f>
        <x:v>3</x:v>
      </x:c>
      <x:c r="I40" s="122" t="n">
        <x:f>IF(H40="","",ROUND(H40*'00_Eingabe'!$B$19,0))</x:f>
        <x:v>7</x:v>
      </x:c>
      <x:c r="J40" s="122" t="n">
        <x:f>IF(OR(F40="",I40=""),"",F40+I40)</x:f>
        <x:v>55</x:v>
      </x:c>
      <x:c r="K40" s="122" t="n">
        <x:f>IF(J40="","",ROUND(J40*'00_Eingabe'!$B$16*(1+'00_Eingabe'!$B$14),0))</x:f>
        <x:v>63</x:v>
      </x:c>
      <x:c r="L40" s="122" t="n">
        <x:f>IF(B40="Betriebsferien",0,ROUND(J40*'00_Eingabe'!$B$40,0)+IF(C40="Wochenende",'00_Eingabe'!$B$42,'00_Eingabe'!$B$41))</x:f>
        <x:v>55</x:v>
      </x:c>
      <x:c r="M40" s="123" t="n">
        <x:f>IF(J40="","",ROUND(J40*'00_Eingabe'!$B$17*(1+'00_Eingabe'!$B$15),0))</x:f>
        <x:v>63</x:v>
      </x:c>
      <x:c r="N40" s="106"/>
      <x:c r="O40" s="106"/>
      <x:c r="P40" s="116"/>
      <x:c r="Q40" s="213" t="n">
        <x:f>IF(C40="Wochenende",1,0)</x:f>
        <x:v>0</x:v>
      </x:c>
      <x:c r="R40" s="213" t="n">
        <x:f>IF(AND(B40&lt;&gt;"Betriebsferien",OR(WEEKDAY(A40,2)=2,WEEKDAY(A40,2)=4)),1,0)</x:f>
        <x:v>1</x:v>
      </x:c>
      <x:c r="S40" s="214" t="n">
        <x:f>R40*MIN(1,'00_Eingabe'!$B$62/'00_Eingabe'!$B$61)</x:f>
        <x:v>0.5</x:v>
      </x:c>
      <x:c r="T40" s="213" t="n">
        <x:f>IF(B40="Betriebsferien",0,IF(B40="Nebensaison",IF(OR(WEEKDAY(A40,2)=1,WEEKDAY(A40,2)=3,WEEKDAY(A40,2)=5),1,0),IF(C40="Unterwoche",1,0)))</x:f>
        <x:v>0</x:v>
      </x:c>
      <x:c r="U40" s="213" t="n">
        <x:f>IF(B40="Betriebsferien",0,'00_Eingabe'!$G$24)</x:f>
        <x:v>8</x:v>
      </x:c>
    </x:row>
    <x:row r="41">
      <x:c r="A41" s="121" t="n">
        <x:f>IF(ROW()-4&lt;DATE('00_Eingabe'!$B$7+1,1,1)-DATE('00_Eingabe'!$B$7,1,1),DATE('00_Eingabe'!$B$7,1,1)+ROW()-4,"")</x:f>
        <x:v>45695</x:v>
      </x:c>
      <x:c r="B41" s="122" t="str">
        <x:f>IF(A41="","",IF(OR(AND(MONTH(A41)=12,DAY(A41)&gt;=20),AND(MONTH(A41)=1,DAY(A41)&lt;=2)),"Weihnachten",IF(OR(AND(MONTH(A41)=11,DAY(A41)&gt;=24),AND(MONTH(A41)=12,DAY(A41)&lt;=7)),"Betriebsferien",IF(OR(AND(MONTH(A41)=1,DAY(A41)&gt;=3),MONTH(A41)=2,MONTH(A41)=3,MONTH(A41)=4,MONTH(A41)=10,MONTH(A41)=11,AND(MONTH(A41)=12,DAY(A41)&lt;=15)),"Nebensaison","Hauptsaison"))))</x:f>
        <x:v>Nebensaison</x:v>
      </x:c>
      <x:c r="C41" s="122" t="str">
        <x:f>IF(A41="","",IF(WEEKDAY(A41,2)&gt;=6,"Wochenende","Unterwoche"))</x:f>
        <x:v>Unterwoche</x:v>
      </x:c>
      <x:c r="D41" s="123" t="n">
        <x:f>IF(A41="","",IF(N41&lt;&gt;"",N41,IF(B41="Nebensaison",IF(C41="Wochenende",'00_Eingabe'!$C$24,'00_Eingabe'!$B$24),IF(B41="Hauptsaison",IF(C41="Wochenende",'00_Eingabe'!$C$25,'00_Eingabe'!$B$25),IF(B41="Weihnachten",IF(C41="Wochenende",'00_Eingabe'!$C$26,'00_Eingabe'!$B$26),IF(C41="Wochenende",'00_Eingabe'!$C$27,'00_Eingabe'!$B$27))))))</x:f>
        <x:v>0.7</x:v>
      </x:c>
      <x:c r="E41" s="122" t="n">
        <x:f>IF(OR(A41="",D41=""),"",ROUND('00_Eingabe'!$B$8*D41,0))</x:f>
        <x:v>25</x:v>
      </x:c>
      <x:c r="F41" s="122" t="n">
        <x:f>IF(E41="","",ROUND(E41*'00_Eingabe'!$B$18,0))</x:f>
        <x:v>48</x:v>
      </x:c>
      <x:c r="G41" s="123" t="n">
        <x:f>IF(A41="","",IF(O41&lt;&gt;"",O41,IF(B41="Nebensaison",IF(C41="Wochenende",'00_Eingabe'!$E$24,'00_Eingabe'!$D$24),IF(B41="Hauptsaison",IF(C41="Wochenende",'00_Eingabe'!$E$25,'00_Eingabe'!$D$25),IF(B41="Weihnachten",IF(C41="Wochenende",'00_Eingabe'!$E$26,'00_Eingabe'!$D$26),IF(C41="Wochenende",'00_Eingabe'!$E$27,'00_Eingabe'!$D$27))))))</x:f>
        <x:v>0.7</x:v>
      </x:c>
      <x:c r="H41" s="122" t="n">
        <x:f>IF(OR(A41="",G41=""),"",ROUND('00_Eingabe'!$B$9*G41,0))</x:f>
        <x:v>3</x:v>
      </x:c>
      <x:c r="I41" s="122" t="n">
        <x:f>IF(H41="","",ROUND(H41*'00_Eingabe'!$B$19,0))</x:f>
        <x:v>7</x:v>
      </x:c>
      <x:c r="J41" s="122" t="n">
        <x:f>IF(OR(F41="",I41=""),"",F41+I41)</x:f>
        <x:v>55</x:v>
      </x:c>
      <x:c r="K41" s="122" t="n">
        <x:f>IF(J41="","",ROUND(J41*'00_Eingabe'!$B$16*(1+'00_Eingabe'!$B$14),0))</x:f>
        <x:v>63</x:v>
      </x:c>
      <x:c r="L41" s="122" t="n">
        <x:f>IF(B41="Betriebsferien",0,ROUND(J41*'00_Eingabe'!$B$40,0)+IF(C41="Wochenende",'00_Eingabe'!$B$42,'00_Eingabe'!$B$41))</x:f>
        <x:v>55</x:v>
      </x:c>
      <x:c r="M41" s="123" t="n">
        <x:f>IF(J41="","",ROUND(J41*'00_Eingabe'!$B$17*(1+'00_Eingabe'!$B$15),0))</x:f>
        <x:v>63</x:v>
      </x:c>
      <x:c r="N41" s="106"/>
      <x:c r="O41" s="106"/>
      <x:c r="P41" s="116"/>
      <x:c r="Q41" s="213" t="n">
        <x:f>IF(C41="Wochenende",1,0)</x:f>
        <x:v>0</x:v>
      </x:c>
      <x:c r="R41" s="213" t="n">
        <x:f>IF(AND(B41&lt;&gt;"Betriebsferien",OR(WEEKDAY(A41,2)=2,WEEKDAY(A41,2)=4)),1,0)</x:f>
        <x:v>0</x:v>
      </x:c>
      <x:c r="S41" s="214" t="n">
        <x:f>R41*MIN(1,'00_Eingabe'!$B$62/'00_Eingabe'!$B$61)</x:f>
        <x:v>0</x:v>
      </x:c>
      <x:c r="T41" s="213" t="n">
        <x:f>IF(B41="Betriebsferien",0,IF(B41="Nebensaison",IF(OR(WEEKDAY(A41,2)=1,WEEKDAY(A41,2)=3,WEEKDAY(A41,2)=5),1,0),IF(C41="Unterwoche",1,0)))</x:f>
        <x:v>1</x:v>
      </x:c>
      <x:c r="U41" s="213" t="n">
        <x:f>IF(B41="Betriebsferien",0,'00_Eingabe'!$G$24)</x:f>
        <x:v>8</x:v>
      </x:c>
    </x:row>
    <x:row r="42">
      <x:c r="A42" s="121" t="n">
        <x:f>IF(ROW()-4&lt;DATE('00_Eingabe'!$B$7+1,1,1)-DATE('00_Eingabe'!$B$7,1,1),DATE('00_Eingabe'!$B$7,1,1)+ROW()-4,"")</x:f>
        <x:v>45696</x:v>
      </x:c>
      <x:c r="B42" s="122" t="str">
        <x:f>IF(A42="","",IF(OR(AND(MONTH(A42)=12,DAY(A42)&gt;=20),AND(MONTH(A42)=1,DAY(A42)&lt;=2)),"Weihnachten",IF(OR(AND(MONTH(A42)=11,DAY(A42)&gt;=24),AND(MONTH(A42)=12,DAY(A42)&lt;=7)),"Betriebsferien",IF(OR(AND(MONTH(A42)=1,DAY(A42)&gt;=3),MONTH(A42)=2,MONTH(A42)=3,MONTH(A42)=4,MONTH(A42)=10,MONTH(A42)=11,AND(MONTH(A42)=12,DAY(A42)&lt;=15)),"Nebensaison","Hauptsaison"))))</x:f>
        <x:v>Nebensaison</x:v>
      </x:c>
      <x:c r="C42" s="122" t="str">
        <x:f>IF(A42="","",IF(WEEKDAY(A42,2)&gt;=6,"Wochenende","Unterwoche"))</x:f>
        <x:v>Wochenende</x:v>
      </x:c>
      <x:c r="D42" s="123" t="n">
        <x:f>IF(A42="","",IF(N42&lt;&gt;"",N42,IF(B42="Nebensaison",IF(C42="Wochenende",'00_Eingabe'!$C$24,'00_Eingabe'!$B$24),IF(B42="Hauptsaison",IF(C42="Wochenende",'00_Eingabe'!$C$25,'00_Eingabe'!$B$25),IF(B42="Weihnachten",IF(C42="Wochenende",'00_Eingabe'!$C$26,'00_Eingabe'!$B$26),IF(C42="Wochenende",'00_Eingabe'!$C$27,'00_Eingabe'!$B$27))))))</x:f>
        <x:v>0.75</x:v>
      </x:c>
      <x:c r="E42" s="122" t="n">
        <x:f>IF(OR(A42="",D42=""),"",ROUND('00_Eingabe'!$B$8*D42,0))</x:f>
        <x:v>26</x:v>
      </x:c>
      <x:c r="F42" s="122" t="n">
        <x:f>IF(E42="","",ROUND(E42*'00_Eingabe'!$B$18,0))</x:f>
        <x:v>49</x:v>
      </x:c>
      <x:c r="G42" s="123" t="n">
        <x:f>IF(A42="","",IF(O42&lt;&gt;"",O42,IF(B42="Nebensaison",IF(C42="Wochenende",'00_Eingabe'!$E$24,'00_Eingabe'!$D$24),IF(B42="Hauptsaison",IF(C42="Wochenende",'00_Eingabe'!$E$25,'00_Eingabe'!$D$25),IF(B42="Weihnachten",IF(C42="Wochenende",'00_Eingabe'!$E$26,'00_Eingabe'!$D$26),IF(C42="Wochenende",'00_Eingabe'!$E$27,'00_Eingabe'!$D$27))))))</x:f>
        <x:v>0.75</x:v>
      </x:c>
      <x:c r="H42" s="122" t="n">
        <x:f>IF(OR(A42="",G42=""),"",ROUND('00_Eingabe'!$B$9*G42,0))</x:f>
        <x:v>3</x:v>
      </x:c>
      <x:c r="I42" s="122" t="n">
        <x:f>IF(H42="","",ROUND(H42*'00_Eingabe'!$B$19,0))</x:f>
        <x:v>7</x:v>
      </x:c>
      <x:c r="J42" s="122" t="n">
        <x:f>IF(OR(F42="",I42=""),"",F42+I42)</x:f>
        <x:v>56</x:v>
      </x:c>
      <x:c r="K42" s="122" t="n">
        <x:f>IF(J42="","",ROUND(J42*'00_Eingabe'!$B$16*(1+'00_Eingabe'!$B$14),0))</x:f>
        <x:v>64</x:v>
      </x:c>
      <x:c r="L42" s="122" t="n">
        <x:f>IF(B42="Betriebsferien",0,ROUND(J42*'00_Eingabe'!$B$40,0)+IF(C42="Wochenende",'00_Eingabe'!$B$42,'00_Eingabe'!$B$41))</x:f>
        <x:v>80</x:v>
      </x:c>
      <x:c r="M42" s="123" t="n">
        <x:f>IF(J42="","",ROUND(J42*'00_Eingabe'!$B$17*(1+'00_Eingabe'!$B$15),0))</x:f>
        <x:v>64</x:v>
      </x:c>
      <x:c r="N42" s="106"/>
      <x:c r="O42" s="106"/>
      <x:c r="P42" s="116"/>
      <x:c r="Q42" s="213" t="n">
        <x:f>IF(C42="Wochenende",1,0)</x:f>
        <x:v>1</x:v>
      </x:c>
      <x:c r="R42" s="213" t="n">
        <x:f>IF(AND(B42&lt;&gt;"Betriebsferien",OR(WEEKDAY(A42,2)=2,WEEKDAY(A42,2)=4)),1,0)</x:f>
        <x:v>0</x:v>
      </x:c>
      <x:c r="S42" s="214" t="n">
        <x:f>R42*MIN(1,'00_Eingabe'!$B$62/'00_Eingabe'!$B$61)</x:f>
        <x:v>0</x:v>
      </x:c>
      <x:c r="T42" s="213" t="n">
        <x:f>IF(B42="Betriebsferien",0,IF(B42="Nebensaison",IF(OR(WEEKDAY(A42,2)=1,WEEKDAY(A42,2)=3,WEEKDAY(A42,2)=5),1,0),IF(C42="Unterwoche",1,0)))</x:f>
        <x:v>0</x:v>
      </x:c>
      <x:c r="U42" s="213" t="n">
        <x:f>IF(B42="Betriebsferien",0,'00_Eingabe'!$G$24)</x:f>
        <x:v>8</x:v>
      </x:c>
    </x:row>
    <x:row r="43">
      <x:c r="A43" s="121" t="n">
        <x:f>IF(ROW()-4&lt;DATE('00_Eingabe'!$B$7+1,1,1)-DATE('00_Eingabe'!$B$7,1,1),DATE('00_Eingabe'!$B$7,1,1)+ROW()-4,"")</x:f>
        <x:v>45697</x:v>
      </x:c>
      <x:c r="B43" s="122" t="str">
        <x:f>IF(A43="","",IF(OR(AND(MONTH(A43)=12,DAY(A43)&gt;=20),AND(MONTH(A43)=1,DAY(A43)&lt;=2)),"Weihnachten",IF(OR(AND(MONTH(A43)=11,DAY(A43)&gt;=24),AND(MONTH(A43)=12,DAY(A43)&lt;=7)),"Betriebsferien",IF(OR(AND(MONTH(A43)=1,DAY(A43)&gt;=3),MONTH(A43)=2,MONTH(A43)=3,MONTH(A43)=4,MONTH(A43)=10,MONTH(A43)=11,AND(MONTH(A43)=12,DAY(A43)&lt;=15)),"Nebensaison","Hauptsaison"))))</x:f>
        <x:v>Nebensaison</x:v>
      </x:c>
      <x:c r="C43" s="122" t="str">
        <x:f>IF(A43="","",IF(WEEKDAY(A43,2)&gt;=6,"Wochenende","Unterwoche"))</x:f>
        <x:v>Wochenende</x:v>
      </x:c>
      <x:c r="D43" s="123" t="n">
        <x:f>IF(A43="","",IF(N43&lt;&gt;"",N43,IF(B43="Nebensaison",IF(C43="Wochenende",'00_Eingabe'!$C$24,'00_Eingabe'!$B$24),IF(B43="Hauptsaison",IF(C43="Wochenende",'00_Eingabe'!$C$25,'00_Eingabe'!$B$25),IF(B43="Weihnachten",IF(C43="Wochenende",'00_Eingabe'!$C$26,'00_Eingabe'!$B$26),IF(C43="Wochenende",'00_Eingabe'!$C$27,'00_Eingabe'!$B$27))))))</x:f>
        <x:v>0.75</x:v>
      </x:c>
      <x:c r="E43" s="122" t="n">
        <x:f>IF(OR(A43="",D43=""),"",ROUND('00_Eingabe'!$B$8*D43,0))</x:f>
        <x:v>26</x:v>
      </x:c>
      <x:c r="F43" s="122" t="n">
        <x:f>IF(E43="","",ROUND(E43*'00_Eingabe'!$B$18,0))</x:f>
        <x:v>49</x:v>
      </x:c>
      <x:c r="G43" s="123" t="n">
        <x:f>IF(A43="","",IF(O43&lt;&gt;"",O43,IF(B43="Nebensaison",IF(C43="Wochenende",'00_Eingabe'!$E$24,'00_Eingabe'!$D$24),IF(B43="Hauptsaison",IF(C43="Wochenende",'00_Eingabe'!$E$25,'00_Eingabe'!$D$25),IF(B43="Weihnachten",IF(C43="Wochenende",'00_Eingabe'!$E$26,'00_Eingabe'!$D$26),IF(C43="Wochenende",'00_Eingabe'!$E$27,'00_Eingabe'!$D$27))))))</x:f>
        <x:v>0.75</x:v>
      </x:c>
      <x:c r="H43" s="122" t="n">
        <x:f>IF(OR(A43="",G43=""),"",ROUND('00_Eingabe'!$B$9*G43,0))</x:f>
        <x:v>3</x:v>
      </x:c>
      <x:c r="I43" s="122" t="n">
        <x:f>IF(H43="","",ROUND(H43*'00_Eingabe'!$B$19,0))</x:f>
        <x:v>7</x:v>
      </x:c>
      <x:c r="J43" s="122" t="n">
        <x:f>IF(OR(F43="",I43=""),"",F43+I43)</x:f>
        <x:v>56</x:v>
      </x:c>
      <x:c r="K43" s="122" t="n">
        <x:f>IF(J43="","",ROUND(J43*'00_Eingabe'!$B$16*(1+'00_Eingabe'!$B$14),0))</x:f>
        <x:v>64</x:v>
      </x:c>
      <x:c r="L43" s="122" t="n">
        <x:f>IF(B43="Betriebsferien",0,ROUND(J43*'00_Eingabe'!$B$40,0)+IF(C43="Wochenende",'00_Eingabe'!$B$42,'00_Eingabe'!$B$41))</x:f>
        <x:v>80</x:v>
      </x:c>
      <x:c r="M43" s="123" t="n">
        <x:f>IF(J43="","",ROUND(J43*'00_Eingabe'!$B$17*(1+'00_Eingabe'!$B$15),0))</x:f>
        <x:v>64</x:v>
      </x:c>
      <x:c r="N43" s="106"/>
      <x:c r="O43" s="106"/>
      <x:c r="P43" s="116"/>
      <x:c r="Q43" s="213" t="n">
        <x:f>IF(C43="Wochenende",1,0)</x:f>
        <x:v>1</x:v>
      </x:c>
      <x:c r="R43" s="213" t="n">
        <x:f>IF(AND(B43&lt;&gt;"Betriebsferien",OR(WEEKDAY(A43,2)=2,WEEKDAY(A43,2)=4)),1,0)</x:f>
        <x:v>0</x:v>
      </x:c>
      <x:c r="S43" s="214" t="n">
        <x:f>R43*MIN(1,'00_Eingabe'!$B$62/'00_Eingabe'!$B$61)</x:f>
        <x:v>0</x:v>
      </x:c>
      <x:c r="T43" s="213" t="n">
        <x:f>IF(B43="Betriebsferien",0,IF(B43="Nebensaison",IF(OR(WEEKDAY(A43,2)=1,WEEKDAY(A43,2)=3,WEEKDAY(A43,2)=5),1,0),IF(C43="Unterwoche",1,0)))</x:f>
        <x:v>0</x:v>
      </x:c>
      <x:c r="U43" s="213" t="n">
        <x:f>IF(B43="Betriebsferien",0,'00_Eingabe'!$G$24)</x:f>
        <x:v>8</x:v>
      </x:c>
    </x:row>
    <x:row r="44">
      <x:c r="A44" s="121" t="n">
        <x:f>IF(ROW()-4&lt;DATE('00_Eingabe'!$B$7+1,1,1)-DATE('00_Eingabe'!$B$7,1,1),DATE('00_Eingabe'!$B$7,1,1)+ROW()-4,"")</x:f>
        <x:v>45698</x:v>
      </x:c>
      <x:c r="B44" s="122" t="str">
        <x:f>IF(A44="","",IF(OR(AND(MONTH(A44)=12,DAY(A44)&gt;=20),AND(MONTH(A44)=1,DAY(A44)&lt;=2)),"Weihnachten",IF(OR(AND(MONTH(A44)=11,DAY(A44)&gt;=24),AND(MONTH(A44)=12,DAY(A44)&lt;=7)),"Betriebsferien",IF(OR(AND(MONTH(A44)=1,DAY(A44)&gt;=3),MONTH(A44)=2,MONTH(A44)=3,MONTH(A44)=4,MONTH(A44)=10,MONTH(A44)=11,AND(MONTH(A44)=12,DAY(A44)&lt;=15)),"Nebensaison","Hauptsaison"))))</x:f>
        <x:v>Nebensaison</x:v>
      </x:c>
      <x:c r="C44" s="122" t="str">
        <x:f>IF(A44="","",IF(WEEKDAY(A44,2)&gt;=6,"Wochenende","Unterwoche"))</x:f>
        <x:v>Unterwoche</x:v>
      </x:c>
      <x:c r="D44" s="123" t="n">
        <x:f>IF(A44="","",IF(N44&lt;&gt;"",N44,IF(B44="Nebensaison",IF(C44="Wochenende",'00_Eingabe'!$C$24,'00_Eingabe'!$B$24),IF(B44="Hauptsaison",IF(C44="Wochenende",'00_Eingabe'!$C$25,'00_Eingabe'!$B$25),IF(B44="Weihnachten",IF(C44="Wochenende",'00_Eingabe'!$C$26,'00_Eingabe'!$B$26),IF(C44="Wochenende",'00_Eingabe'!$C$27,'00_Eingabe'!$B$27))))))</x:f>
        <x:v>0.7</x:v>
      </x:c>
      <x:c r="E44" s="122" t="n">
        <x:f>IF(OR(A44="",D44=""),"",ROUND('00_Eingabe'!$B$8*D44,0))</x:f>
        <x:v>25</x:v>
      </x:c>
      <x:c r="F44" s="122" t="n">
        <x:f>IF(E44="","",ROUND(E44*'00_Eingabe'!$B$18,0))</x:f>
        <x:v>48</x:v>
      </x:c>
      <x:c r="G44" s="123" t="n">
        <x:f>IF(A44="","",IF(O44&lt;&gt;"",O44,IF(B44="Nebensaison",IF(C44="Wochenende",'00_Eingabe'!$E$24,'00_Eingabe'!$D$24),IF(B44="Hauptsaison",IF(C44="Wochenende",'00_Eingabe'!$E$25,'00_Eingabe'!$D$25),IF(B44="Weihnachten",IF(C44="Wochenende",'00_Eingabe'!$E$26,'00_Eingabe'!$D$26),IF(C44="Wochenende",'00_Eingabe'!$E$27,'00_Eingabe'!$D$27))))))</x:f>
        <x:v>0.7</x:v>
      </x:c>
      <x:c r="H44" s="122" t="n">
        <x:f>IF(OR(A44="",G44=""),"",ROUND('00_Eingabe'!$B$9*G44,0))</x:f>
        <x:v>3</x:v>
      </x:c>
      <x:c r="I44" s="122" t="n">
        <x:f>IF(H44="","",ROUND(H44*'00_Eingabe'!$B$19,0))</x:f>
        <x:v>7</x:v>
      </x:c>
      <x:c r="J44" s="122" t="n">
        <x:f>IF(OR(F44="",I44=""),"",F44+I44)</x:f>
        <x:v>55</x:v>
      </x:c>
      <x:c r="K44" s="122" t="n">
        <x:f>IF(J44="","",ROUND(J44*'00_Eingabe'!$B$16*(1+'00_Eingabe'!$B$14),0))</x:f>
        <x:v>63</x:v>
      </x:c>
      <x:c r="L44" s="122" t="n">
        <x:f>IF(B44="Betriebsferien",0,ROUND(J44*'00_Eingabe'!$B$40,0)+IF(C44="Wochenende",'00_Eingabe'!$B$42,'00_Eingabe'!$B$41))</x:f>
        <x:v>55</x:v>
      </x:c>
      <x:c r="M44" s="123" t="n">
        <x:f>IF(J44="","",ROUND(J44*'00_Eingabe'!$B$17*(1+'00_Eingabe'!$B$15),0))</x:f>
        <x:v>63</x:v>
      </x:c>
      <x:c r="N44" s="106"/>
      <x:c r="O44" s="106"/>
      <x:c r="P44" s="116"/>
      <x:c r="Q44" s="213" t="n">
        <x:f>IF(C44="Wochenende",1,0)</x:f>
        <x:v>0</x:v>
      </x:c>
      <x:c r="R44" s="213" t="n">
        <x:f>IF(AND(B44&lt;&gt;"Betriebsferien",OR(WEEKDAY(A44,2)=2,WEEKDAY(A44,2)=4)),1,0)</x:f>
        <x:v>0</x:v>
      </x:c>
      <x:c r="S44" s="214" t="n">
        <x:f>R44*MIN(1,'00_Eingabe'!$B$62/'00_Eingabe'!$B$61)</x:f>
        <x:v>0</x:v>
      </x:c>
      <x:c r="T44" s="213" t="n">
        <x:f>IF(B44="Betriebsferien",0,IF(B44="Nebensaison",IF(OR(WEEKDAY(A44,2)=1,WEEKDAY(A44,2)=3,WEEKDAY(A44,2)=5),1,0),IF(C44="Unterwoche",1,0)))</x:f>
        <x:v>1</x:v>
      </x:c>
      <x:c r="U44" s="213" t="n">
        <x:f>IF(B44="Betriebsferien",0,'00_Eingabe'!$G$24)</x:f>
        <x:v>8</x:v>
      </x:c>
    </x:row>
    <x:row r="45">
      <x:c r="A45" s="121" t="n">
        <x:f>IF(ROW()-4&lt;DATE('00_Eingabe'!$B$7+1,1,1)-DATE('00_Eingabe'!$B$7,1,1),DATE('00_Eingabe'!$B$7,1,1)+ROW()-4,"")</x:f>
        <x:v>45699</x:v>
      </x:c>
      <x:c r="B45" s="122" t="str">
        <x:f>IF(A45="","",IF(OR(AND(MONTH(A45)=12,DAY(A45)&gt;=20),AND(MONTH(A45)=1,DAY(A45)&lt;=2)),"Weihnachten",IF(OR(AND(MONTH(A45)=11,DAY(A45)&gt;=24),AND(MONTH(A45)=12,DAY(A45)&lt;=7)),"Betriebsferien",IF(OR(AND(MONTH(A45)=1,DAY(A45)&gt;=3),MONTH(A45)=2,MONTH(A45)=3,MONTH(A45)=4,MONTH(A45)=10,MONTH(A45)=11,AND(MONTH(A45)=12,DAY(A45)&lt;=15)),"Nebensaison","Hauptsaison"))))</x:f>
        <x:v>Nebensaison</x:v>
      </x:c>
      <x:c r="C45" s="122" t="str">
        <x:f>IF(A45="","",IF(WEEKDAY(A45,2)&gt;=6,"Wochenende","Unterwoche"))</x:f>
        <x:v>Unterwoche</x:v>
      </x:c>
      <x:c r="D45" s="123" t="n">
        <x:f>IF(A45="","",IF(N45&lt;&gt;"",N45,IF(B45="Nebensaison",IF(C45="Wochenende",'00_Eingabe'!$C$24,'00_Eingabe'!$B$24),IF(B45="Hauptsaison",IF(C45="Wochenende",'00_Eingabe'!$C$25,'00_Eingabe'!$B$25),IF(B45="Weihnachten",IF(C45="Wochenende",'00_Eingabe'!$C$26,'00_Eingabe'!$B$26),IF(C45="Wochenende",'00_Eingabe'!$C$27,'00_Eingabe'!$B$27))))))</x:f>
        <x:v>0.7</x:v>
      </x:c>
      <x:c r="E45" s="122" t="n">
        <x:f>IF(OR(A45="",D45=""),"",ROUND('00_Eingabe'!$B$8*D45,0))</x:f>
        <x:v>25</x:v>
      </x:c>
      <x:c r="F45" s="122" t="n">
        <x:f>IF(E45="","",ROUND(E45*'00_Eingabe'!$B$18,0))</x:f>
        <x:v>48</x:v>
      </x:c>
      <x:c r="G45" s="123" t="n">
        <x:f>IF(A45="","",IF(O45&lt;&gt;"",O45,IF(B45="Nebensaison",IF(C45="Wochenende",'00_Eingabe'!$E$24,'00_Eingabe'!$D$24),IF(B45="Hauptsaison",IF(C45="Wochenende",'00_Eingabe'!$E$25,'00_Eingabe'!$D$25),IF(B45="Weihnachten",IF(C45="Wochenende",'00_Eingabe'!$E$26,'00_Eingabe'!$D$26),IF(C45="Wochenende",'00_Eingabe'!$E$27,'00_Eingabe'!$D$27))))))</x:f>
        <x:v>0.7</x:v>
      </x:c>
      <x:c r="H45" s="122" t="n">
        <x:f>IF(OR(A45="",G45=""),"",ROUND('00_Eingabe'!$B$9*G45,0))</x:f>
        <x:v>3</x:v>
      </x:c>
      <x:c r="I45" s="122" t="n">
        <x:f>IF(H45="","",ROUND(H45*'00_Eingabe'!$B$19,0))</x:f>
        <x:v>7</x:v>
      </x:c>
      <x:c r="J45" s="122" t="n">
        <x:f>IF(OR(F45="",I45=""),"",F45+I45)</x:f>
        <x:v>55</x:v>
      </x:c>
      <x:c r="K45" s="122" t="n">
        <x:f>IF(J45="","",ROUND(J45*'00_Eingabe'!$B$16*(1+'00_Eingabe'!$B$14),0))</x:f>
        <x:v>63</x:v>
      </x:c>
      <x:c r="L45" s="122" t="n">
        <x:f>IF(B45="Betriebsferien",0,ROUND(J45*'00_Eingabe'!$B$40,0)+IF(C45="Wochenende",'00_Eingabe'!$B$42,'00_Eingabe'!$B$41))</x:f>
        <x:v>55</x:v>
      </x:c>
      <x:c r="M45" s="123" t="n">
        <x:f>IF(J45="","",ROUND(J45*'00_Eingabe'!$B$17*(1+'00_Eingabe'!$B$15),0))</x:f>
        <x:v>63</x:v>
      </x:c>
      <x:c r="N45" s="106"/>
      <x:c r="O45" s="106"/>
      <x:c r="P45" s="116"/>
      <x:c r="Q45" s="213" t="n">
        <x:f>IF(C45="Wochenende",1,0)</x:f>
        <x:v>0</x:v>
      </x:c>
      <x:c r="R45" s="213" t="n">
        <x:f>IF(AND(B45&lt;&gt;"Betriebsferien",OR(WEEKDAY(A45,2)=2,WEEKDAY(A45,2)=4)),1,0)</x:f>
        <x:v>1</x:v>
      </x:c>
      <x:c r="S45" s="214" t="n">
        <x:f>R45*MIN(1,'00_Eingabe'!$B$62/'00_Eingabe'!$B$61)</x:f>
        <x:v>0.5</x:v>
      </x:c>
      <x:c r="T45" s="213" t="n">
        <x:f>IF(B45="Betriebsferien",0,IF(B45="Nebensaison",IF(OR(WEEKDAY(A45,2)=1,WEEKDAY(A45,2)=3,WEEKDAY(A45,2)=5),1,0),IF(C45="Unterwoche",1,0)))</x:f>
        <x:v>0</x:v>
      </x:c>
      <x:c r="U45" s="213" t="n">
        <x:f>IF(B45="Betriebsferien",0,'00_Eingabe'!$G$24)</x:f>
        <x:v>8</x:v>
      </x:c>
    </x:row>
    <x:row r="46">
      <x:c r="A46" s="121" t="n">
        <x:f>IF(ROW()-4&lt;DATE('00_Eingabe'!$B$7+1,1,1)-DATE('00_Eingabe'!$B$7,1,1),DATE('00_Eingabe'!$B$7,1,1)+ROW()-4,"")</x:f>
        <x:v>45700</x:v>
      </x:c>
      <x:c r="B46" s="122" t="str">
        <x:f>IF(A46="","",IF(OR(AND(MONTH(A46)=12,DAY(A46)&gt;=20),AND(MONTH(A46)=1,DAY(A46)&lt;=2)),"Weihnachten",IF(OR(AND(MONTH(A46)=11,DAY(A46)&gt;=24),AND(MONTH(A46)=12,DAY(A46)&lt;=7)),"Betriebsferien",IF(OR(AND(MONTH(A46)=1,DAY(A46)&gt;=3),MONTH(A46)=2,MONTH(A46)=3,MONTH(A46)=4,MONTH(A46)=10,MONTH(A46)=11,AND(MONTH(A46)=12,DAY(A46)&lt;=15)),"Nebensaison","Hauptsaison"))))</x:f>
        <x:v>Nebensaison</x:v>
      </x:c>
      <x:c r="C46" s="122" t="str">
        <x:f>IF(A46="","",IF(WEEKDAY(A46,2)&gt;=6,"Wochenende","Unterwoche"))</x:f>
        <x:v>Unterwoche</x:v>
      </x:c>
      <x:c r="D46" s="123" t="n">
        <x:f>IF(A46="","",IF(N46&lt;&gt;"",N46,IF(B46="Nebensaison",IF(C46="Wochenende",'00_Eingabe'!$C$24,'00_Eingabe'!$B$24),IF(B46="Hauptsaison",IF(C46="Wochenende",'00_Eingabe'!$C$25,'00_Eingabe'!$B$25),IF(B46="Weihnachten",IF(C46="Wochenende",'00_Eingabe'!$C$26,'00_Eingabe'!$B$26),IF(C46="Wochenende",'00_Eingabe'!$C$27,'00_Eingabe'!$B$27))))))</x:f>
        <x:v>0.7</x:v>
      </x:c>
      <x:c r="E46" s="122" t="n">
        <x:f>IF(OR(A46="",D46=""),"",ROUND('00_Eingabe'!$B$8*D46,0))</x:f>
        <x:v>25</x:v>
      </x:c>
      <x:c r="F46" s="122" t="n">
        <x:f>IF(E46="","",ROUND(E46*'00_Eingabe'!$B$18,0))</x:f>
        <x:v>48</x:v>
      </x:c>
      <x:c r="G46" s="123" t="n">
        <x:f>IF(A46="","",IF(O46&lt;&gt;"",O46,IF(B46="Nebensaison",IF(C46="Wochenende",'00_Eingabe'!$E$24,'00_Eingabe'!$D$24),IF(B46="Hauptsaison",IF(C46="Wochenende",'00_Eingabe'!$E$25,'00_Eingabe'!$D$25),IF(B46="Weihnachten",IF(C46="Wochenende",'00_Eingabe'!$E$26,'00_Eingabe'!$D$26),IF(C46="Wochenende",'00_Eingabe'!$E$27,'00_Eingabe'!$D$27))))))</x:f>
        <x:v>0.7</x:v>
      </x:c>
      <x:c r="H46" s="122" t="n">
        <x:f>IF(OR(A46="",G46=""),"",ROUND('00_Eingabe'!$B$9*G46,0))</x:f>
        <x:v>3</x:v>
      </x:c>
      <x:c r="I46" s="122" t="n">
        <x:f>IF(H46="","",ROUND(H46*'00_Eingabe'!$B$19,0))</x:f>
        <x:v>7</x:v>
      </x:c>
      <x:c r="J46" s="122" t="n">
        <x:f>IF(OR(F46="",I46=""),"",F46+I46)</x:f>
        <x:v>55</x:v>
      </x:c>
      <x:c r="K46" s="122" t="n">
        <x:f>IF(J46="","",ROUND(J46*'00_Eingabe'!$B$16*(1+'00_Eingabe'!$B$14),0))</x:f>
        <x:v>63</x:v>
      </x:c>
      <x:c r="L46" s="122" t="n">
        <x:f>IF(B46="Betriebsferien",0,ROUND(J46*'00_Eingabe'!$B$40,0)+IF(C46="Wochenende",'00_Eingabe'!$B$42,'00_Eingabe'!$B$41))</x:f>
        <x:v>55</x:v>
      </x:c>
      <x:c r="M46" s="123" t="n">
        <x:f>IF(J46="","",ROUND(J46*'00_Eingabe'!$B$17*(1+'00_Eingabe'!$B$15),0))</x:f>
        <x:v>63</x:v>
      </x:c>
      <x:c r="N46" s="106"/>
      <x:c r="O46" s="106"/>
      <x:c r="P46" s="116"/>
      <x:c r="Q46" s="213" t="n">
        <x:f>IF(C46="Wochenende",1,0)</x:f>
        <x:v>0</x:v>
      </x:c>
      <x:c r="R46" s="213" t="n">
        <x:f>IF(AND(B46&lt;&gt;"Betriebsferien",OR(WEEKDAY(A46,2)=2,WEEKDAY(A46,2)=4)),1,0)</x:f>
        <x:v>0</x:v>
      </x:c>
      <x:c r="S46" s="214" t="n">
        <x:f>R46*MIN(1,'00_Eingabe'!$B$62/'00_Eingabe'!$B$61)</x:f>
        <x:v>0</x:v>
      </x:c>
      <x:c r="T46" s="213" t="n">
        <x:f>IF(B46="Betriebsferien",0,IF(B46="Nebensaison",IF(OR(WEEKDAY(A46,2)=1,WEEKDAY(A46,2)=3,WEEKDAY(A46,2)=5),1,0),IF(C46="Unterwoche",1,0)))</x:f>
        <x:v>1</x:v>
      </x:c>
      <x:c r="U46" s="213" t="n">
        <x:f>IF(B46="Betriebsferien",0,'00_Eingabe'!$G$24)</x:f>
        <x:v>8</x:v>
      </x:c>
    </x:row>
    <x:row r="47">
      <x:c r="A47" s="121" t="n">
        <x:f>IF(ROW()-4&lt;DATE('00_Eingabe'!$B$7+1,1,1)-DATE('00_Eingabe'!$B$7,1,1),DATE('00_Eingabe'!$B$7,1,1)+ROW()-4,"")</x:f>
        <x:v>45701</x:v>
      </x:c>
      <x:c r="B47" s="122" t="str">
        <x:f>IF(A47="","",IF(OR(AND(MONTH(A47)=12,DAY(A47)&gt;=20),AND(MONTH(A47)=1,DAY(A47)&lt;=2)),"Weihnachten",IF(OR(AND(MONTH(A47)=11,DAY(A47)&gt;=24),AND(MONTH(A47)=12,DAY(A47)&lt;=7)),"Betriebsferien",IF(OR(AND(MONTH(A47)=1,DAY(A47)&gt;=3),MONTH(A47)=2,MONTH(A47)=3,MONTH(A47)=4,MONTH(A47)=10,MONTH(A47)=11,AND(MONTH(A47)=12,DAY(A47)&lt;=15)),"Nebensaison","Hauptsaison"))))</x:f>
        <x:v>Nebensaison</x:v>
      </x:c>
      <x:c r="C47" s="122" t="str">
        <x:f>IF(A47="","",IF(WEEKDAY(A47,2)&gt;=6,"Wochenende","Unterwoche"))</x:f>
        <x:v>Unterwoche</x:v>
      </x:c>
      <x:c r="D47" s="123" t="n">
        <x:f>IF(A47="","",IF(N47&lt;&gt;"",N47,IF(B47="Nebensaison",IF(C47="Wochenende",'00_Eingabe'!$C$24,'00_Eingabe'!$B$24),IF(B47="Hauptsaison",IF(C47="Wochenende",'00_Eingabe'!$C$25,'00_Eingabe'!$B$25),IF(B47="Weihnachten",IF(C47="Wochenende",'00_Eingabe'!$C$26,'00_Eingabe'!$B$26),IF(C47="Wochenende",'00_Eingabe'!$C$27,'00_Eingabe'!$B$27))))))</x:f>
        <x:v>0.7</x:v>
      </x:c>
      <x:c r="E47" s="122" t="n">
        <x:f>IF(OR(A47="",D47=""),"",ROUND('00_Eingabe'!$B$8*D47,0))</x:f>
        <x:v>25</x:v>
      </x:c>
      <x:c r="F47" s="122" t="n">
        <x:f>IF(E47="","",ROUND(E47*'00_Eingabe'!$B$18,0))</x:f>
        <x:v>48</x:v>
      </x:c>
      <x:c r="G47" s="123" t="n">
        <x:f>IF(A47="","",IF(O47&lt;&gt;"",O47,IF(B47="Nebensaison",IF(C47="Wochenende",'00_Eingabe'!$E$24,'00_Eingabe'!$D$24),IF(B47="Hauptsaison",IF(C47="Wochenende",'00_Eingabe'!$E$25,'00_Eingabe'!$D$25),IF(B47="Weihnachten",IF(C47="Wochenende",'00_Eingabe'!$E$26,'00_Eingabe'!$D$26),IF(C47="Wochenende",'00_Eingabe'!$E$27,'00_Eingabe'!$D$27))))))</x:f>
        <x:v>0.7</x:v>
      </x:c>
      <x:c r="H47" s="122" t="n">
        <x:f>IF(OR(A47="",G47=""),"",ROUND('00_Eingabe'!$B$9*G47,0))</x:f>
        <x:v>3</x:v>
      </x:c>
      <x:c r="I47" s="122" t="n">
        <x:f>IF(H47="","",ROUND(H47*'00_Eingabe'!$B$19,0))</x:f>
        <x:v>7</x:v>
      </x:c>
      <x:c r="J47" s="122" t="n">
        <x:f>IF(OR(F47="",I47=""),"",F47+I47)</x:f>
        <x:v>55</x:v>
      </x:c>
      <x:c r="K47" s="122" t="n">
        <x:f>IF(J47="","",ROUND(J47*'00_Eingabe'!$B$16*(1+'00_Eingabe'!$B$14),0))</x:f>
        <x:v>63</x:v>
      </x:c>
      <x:c r="L47" s="122" t="n">
        <x:f>IF(B47="Betriebsferien",0,ROUND(J47*'00_Eingabe'!$B$40,0)+IF(C47="Wochenende",'00_Eingabe'!$B$42,'00_Eingabe'!$B$41))</x:f>
        <x:v>55</x:v>
      </x:c>
      <x:c r="M47" s="123" t="n">
        <x:f>IF(J47="","",ROUND(J47*'00_Eingabe'!$B$17*(1+'00_Eingabe'!$B$15),0))</x:f>
        <x:v>63</x:v>
      </x:c>
      <x:c r="N47" s="106"/>
      <x:c r="O47" s="106"/>
      <x:c r="P47" s="116"/>
      <x:c r="Q47" s="213" t="n">
        <x:f>IF(C47="Wochenende",1,0)</x:f>
        <x:v>0</x:v>
      </x:c>
      <x:c r="R47" s="213" t="n">
        <x:f>IF(AND(B47&lt;&gt;"Betriebsferien",OR(WEEKDAY(A47,2)=2,WEEKDAY(A47,2)=4)),1,0)</x:f>
        <x:v>1</x:v>
      </x:c>
      <x:c r="S47" s="214" t="n">
        <x:f>R47*MIN(1,'00_Eingabe'!$B$62/'00_Eingabe'!$B$61)</x:f>
        <x:v>0.5</x:v>
      </x:c>
      <x:c r="T47" s="213" t="n">
        <x:f>IF(B47="Betriebsferien",0,IF(B47="Nebensaison",IF(OR(WEEKDAY(A47,2)=1,WEEKDAY(A47,2)=3,WEEKDAY(A47,2)=5),1,0),IF(C47="Unterwoche",1,0)))</x:f>
        <x:v>0</x:v>
      </x:c>
      <x:c r="U47" s="213" t="n">
        <x:f>IF(B47="Betriebsferien",0,'00_Eingabe'!$G$24)</x:f>
        <x:v>8</x:v>
      </x:c>
    </x:row>
    <x:row r="48">
      <x:c r="A48" s="121" t="n">
        <x:f>IF(ROW()-4&lt;DATE('00_Eingabe'!$B$7+1,1,1)-DATE('00_Eingabe'!$B$7,1,1),DATE('00_Eingabe'!$B$7,1,1)+ROW()-4,"")</x:f>
        <x:v>45702</x:v>
      </x:c>
      <x:c r="B48" s="122" t="str">
        <x:f>IF(A48="","",IF(OR(AND(MONTH(A48)=12,DAY(A48)&gt;=20),AND(MONTH(A48)=1,DAY(A48)&lt;=2)),"Weihnachten",IF(OR(AND(MONTH(A48)=11,DAY(A48)&gt;=24),AND(MONTH(A48)=12,DAY(A48)&lt;=7)),"Betriebsferien",IF(OR(AND(MONTH(A48)=1,DAY(A48)&gt;=3),MONTH(A48)=2,MONTH(A48)=3,MONTH(A48)=4,MONTH(A48)=10,MONTH(A48)=11,AND(MONTH(A48)=12,DAY(A48)&lt;=15)),"Nebensaison","Hauptsaison"))))</x:f>
        <x:v>Nebensaison</x:v>
      </x:c>
      <x:c r="C48" s="122" t="str">
        <x:f>IF(A48="","",IF(WEEKDAY(A48,2)&gt;=6,"Wochenende","Unterwoche"))</x:f>
        <x:v>Unterwoche</x:v>
      </x:c>
      <x:c r="D48" s="123" t="n">
        <x:f>IF(A48="","",IF(N48&lt;&gt;"",N48,IF(B48="Nebensaison",IF(C48="Wochenende",'00_Eingabe'!$C$24,'00_Eingabe'!$B$24),IF(B48="Hauptsaison",IF(C48="Wochenende",'00_Eingabe'!$C$25,'00_Eingabe'!$B$25),IF(B48="Weihnachten",IF(C48="Wochenende",'00_Eingabe'!$C$26,'00_Eingabe'!$B$26),IF(C48="Wochenende",'00_Eingabe'!$C$27,'00_Eingabe'!$B$27))))))</x:f>
        <x:v>0.7</x:v>
      </x:c>
      <x:c r="E48" s="122" t="n">
        <x:f>IF(OR(A48="",D48=""),"",ROUND('00_Eingabe'!$B$8*D48,0))</x:f>
        <x:v>25</x:v>
      </x:c>
      <x:c r="F48" s="122" t="n">
        <x:f>IF(E48="","",ROUND(E48*'00_Eingabe'!$B$18,0))</x:f>
        <x:v>48</x:v>
      </x:c>
      <x:c r="G48" s="123" t="n">
        <x:f>IF(A48="","",IF(O48&lt;&gt;"",O48,IF(B48="Nebensaison",IF(C48="Wochenende",'00_Eingabe'!$E$24,'00_Eingabe'!$D$24),IF(B48="Hauptsaison",IF(C48="Wochenende",'00_Eingabe'!$E$25,'00_Eingabe'!$D$25),IF(B48="Weihnachten",IF(C48="Wochenende",'00_Eingabe'!$E$26,'00_Eingabe'!$D$26),IF(C48="Wochenende",'00_Eingabe'!$E$27,'00_Eingabe'!$D$27))))))</x:f>
        <x:v>0.7</x:v>
      </x:c>
      <x:c r="H48" s="122" t="n">
        <x:f>IF(OR(A48="",G48=""),"",ROUND('00_Eingabe'!$B$9*G48,0))</x:f>
        <x:v>3</x:v>
      </x:c>
      <x:c r="I48" s="122" t="n">
        <x:f>IF(H48="","",ROUND(H48*'00_Eingabe'!$B$19,0))</x:f>
        <x:v>7</x:v>
      </x:c>
      <x:c r="J48" s="122" t="n">
        <x:f>IF(OR(F48="",I48=""),"",F48+I48)</x:f>
        <x:v>55</x:v>
      </x:c>
      <x:c r="K48" s="122" t="n">
        <x:f>IF(J48="","",ROUND(J48*'00_Eingabe'!$B$16*(1+'00_Eingabe'!$B$14),0))</x:f>
        <x:v>63</x:v>
      </x:c>
      <x:c r="L48" s="122" t="n">
        <x:f>IF(B48="Betriebsferien",0,ROUND(J48*'00_Eingabe'!$B$40,0)+IF(C48="Wochenende",'00_Eingabe'!$B$42,'00_Eingabe'!$B$41))</x:f>
        <x:v>55</x:v>
      </x:c>
      <x:c r="M48" s="123" t="n">
        <x:f>IF(J48="","",ROUND(J48*'00_Eingabe'!$B$17*(1+'00_Eingabe'!$B$15),0))</x:f>
        <x:v>63</x:v>
      </x:c>
      <x:c r="N48" s="106"/>
      <x:c r="O48" s="106"/>
      <x:c r="P48" s="116"/>
      <x:c r="Q48" s="213" t="n">
        <x:f>IF(C48="Wochenende",1,0)</x:f>
        <x:v>0</x:v>
      </x:c>
      <x:c r="R48" s="213" t="n">
        <x:f>IF(AND(B48&lt;&gt;"Betriebsferien",OR(WEEKDAY(A48,2)=2,WEEKDAY(A48,2)=4)),1,0)</x:f>
        <x:v>0</x:v>
      </x:c>
      <x:c r="S48" s="214" t="n">
        <x:f>R48*MIN(1,'00_Eingabe'!$B$62/'00_Eingabe'!$B$61)</x:f>
        <x:v>0</x:v>
      </x:c>
      <x:c r="T48" s="213" t="n">
        <x:f>IF(B48="Betriebsferien",0,IF(B48="Nebensaison",IF(OR(WEEKDAY(A48,2)=1,WEEKDAY(A48,2)=3,WEEKDAY(A48,2)=5),1,0),IF(C48="Unterwoche",1,0)))</x:f>
        <x:v>1</x:v>
      </x:c>
      <x:c r="U48" s="213" t="n">
        <x:f>IF(B48="Betriebsferien",0,'00_Eingabe'!$G$24)</x:f>
        <x:v>8</x:v>
      </x:c>
    </x:row>
    <x:row r="49">
      <x:c r="A49" s="121" t="n">
        <x:f>IF(ROW()-4&lt;DATE('00_Eingabe'!$B$7+1,1,1)-DATE('00_Eingabe'!$B$7,1,1),DATE('00_Eingabe'!$B$7,1,1)+ROW()-4,"")</x:f>
        <x:v>45703</x:v>
      </x:c>
      <x:c r="B49" s="122" t="str">
        <x:f>IF(A49="","",IF(OR(AND(MONTH(A49)=12,DAY(A49)&gt;=20),AND(MONTH(A49)=1,DAY(A49)&lt;=2)),"Weihnachten",IF(OR(AND(MONTH(A49)=11,DAY(A49)&gt;=24),AND(MONTH(A49)=12,DAY(A49)&lt;=7)),"Betriebsferien",IF(OR(AND(MONTH(A49)=1,DAY(A49)&gt;=3),MONTH(A49)=2,MONTH(A49)=3,MONTH(A49)=4,MONTH(A49)=10,MONTH(A49)=11,AND(MONTH(A49)=12,DAY(A49)&lt;=15)),"Nebensaison","Hauptsaison"))))</x:f>
        <x:v>Nebensaison</x:v>
      </x:c>
      <x:c r="C49" s="122" t="str">
        <x:f>IF(A49="","",IF(WEEKDAY(A49,2)&gt;=6,"Wochenende","Unterwoche"))</x:f>
        <x:v>Wochenende</x:v>
      </x:c>
      <x:c r="D49" s="123" t="n">
        <x:f>IF(A49="","",IF(N49&lt;&gt;"",N49,IF(B49="Nebensaison",IF(C49="Wochenende",'00_Eingabe'!$C$24,'00_Eingabe'!$B$24),IF(B49="Hauptsaison",IF(C49="Wochenende",'00_Eingabe'!$C$25,'00_Eingabe'!$B$25),IF(B49="Weihnachten",IF(C49="Wochenende",'00_Eingabe'!$C$26,'00_Eingabe'!$B$26),IF(C49="Wochenende",'00_Eingabe'!$C$27,'00_Eingabe'!$B$27))))))</x:f>
        <x:v>0.75</x:v>
      </x:c>
      <x:c r="E49" s="122" t="n">
        <x:f>IF(OR(A49="",D49=""),"",ROUND('00_Eingabe'!$B$8*D49,0))</x:f>
        <x:v>26</x:v>
      </x:c>
      <x:c r="F49" s="122" t="n">
        <x:f>IF(E49="","",ROUND(E49*'00_Eingabe'!$B$18,0))</x:f>
        <x:v>49</x:v>
      </x:c>
      <x:c r="G49" s="123" t="n">
        <x:f>IF(A49="","",IF(O49&lt;&gt;"",O49,IF(B49="Nebensaison",IF(C49="Wochenende",'00_Eingabe'!$E$24,'00_Eingabe'!$D$24),IF(B49="Hauptsaison",IF(C49="Wochenende",'00_Eingabe'!$E$25,'00_Eingabe'!$D$25),IF(B49="Weihnachten",IF(C49="Wochenende",'00_Eingabe'!$E$26,'00_Eingabe'!$D$26),IF(C49="Wochenende",'00_Eingabe'!$E$27,'00_Eingabe'!$D$27))))))</x:f>
        <x:v>0.75</x:v>
      </x:c>
      <x:c r="H49" s="122" t="n">
        <x:f>IF(OR(A49="",G49=""),"",ROUND('00_Eingabe'!$B$9*G49,0))</x:f>
        <x:v>3</x:v>
      </x:c>
      <x:c r="I49" s="122" t="n">
        <x:f>IF(H49="","",ROUND(H49*'00_Eingabe'!$B$19,0))</x:f>
        <x:v>7</x:v>
      </x:c>
      <x:c r="J49" s="122" t="n">
        <x:f>IF(OR(F49="",I49=""),"",F49+I49)</x:f>
        <x:v>56</x:v>
      </x:c>
      <x:c r="K49" s="122" t="n">
        <x:f>IF(J49="","",ROUND(J49*'00_Eingabe'!$B$16*(1+'00_Eingabe'!$B$14),0))</x:f>
        <x:v>64</x:v>
      </x:c>
      <x:c r="L49" s="122" t="n">
        <x:f>IF(B49="Betriebsferien",0,ROUND(J49*'00_Eingabe'!$B$40,0)+IF(C49="Wochenende",'00_Eingabe'!$B$42,'00_Eingabe'!$B$41))</x:f>
        <x:v>80</x:v>
      </x:c>
      <x:c r="M49" s="123" t="n">
        <x:f>IF(J49="","",ROUND(J49*'00_Eingabe'!$B$17*(1+'00_Eingabe'!$B$15),0))</x:f>
        <x:v>64</x:v>
      </x:c>
      <x:c r="N49" s="106"/>
      <x:c r="O49" s="106"/>
      <x:c r="P49" s="116"/>
      <x:c r="Q49" s="213" t="n">
        <x:f>IF(C49="Wochenende",1,0)</x:f>
        <x:v>1</x:v>
      </x:c>
      <x:c r="R49" s="213" t="n">
        <x:f>IF(AND(B49&lt;&gt;"Betriebsferien",OR(WEEKDAY(A49,2)=2,WEEKDAY(A49,2)=4)),1,0)</x:f>
        <x:v>0</x:v>
      </x:c>
      <x:c r="S49" s="214" t="n">
        <x:f>R49*MIN(1,'00_Eingabe'!$B$62/'00_Eingabe'!$B$61)</x:f>
        <x:v>0</x:v>
      </x:c>
      <x:c r="T49" s="213" t="n">
        <x:f>IF(B49="Betriebsferien",0,IF(B49="Nebensaison",IF(OR(WEEKDAY(A49,2)=1,WEEKDAY(A49,2)=3,WEEKDAY(A49,2)=5),1,0),IF(C49="Unterwoche",1,0)))</x:f>
        <x:v>0</x:v>
      </x:c>
      <x:c r="U49" s="213" t="n">
        <x:f>IF(B49="Betriebsferien",0,'00_Eingabe'!$G$24)</x:f>
        <x:v>8</x:v>
      </x:c>
    </x:row>
    <x:row r="50">
      <x:c r="A50" s="121" t="n">
        <x:f>IF(ROW()-4&lt;DATE('00_Eingabe'!$B$7+1,1,1)-DATE('00_Eingabe'!$B$7,1,1),DATE('00_Eingabe'!$B$7,1,1)+ROW()-4,"")</x:f>
        <x:v>45704</x:v>
      </x:c>
      <x:c r="B50" s="122" t="str">
        <x:f>IF(A50="","",IF(OR(AND(MONTH(A50)=12,DAY(A50)&gt;=20),AND(MONTH(A50)=1,DAY(A50)&lt;=2)),"Weihnachten",IF(OR(AND(MONTH(A50)=11,DAY(A50)&gt;=24),AND(MONTH(A50)=12,DAY(A50)&lt;=7)),"Betriebsferien",IF(OR(AND(MONTH(A50)=1,DAY(A50)&gt;=3),MONTH(A50)=2,MONTH(A50)=3,MONTH(A50)=4,MONTH(A50)=10,MONTH(A50)=11,AND(MONTH(A50)=12,DAY(A50)&lt;=15)),"Nebensaison","Hauptsaison"))))</x:f>
        <x:v>Nebensaison</x:v>
      </x:c>
      <x:c r="C50" s="122" t="str">
        <x:f>IF(A50="","",IF(WEEKDAY(A50,2)&gt;=6,"Wochenende","Unterwoche"))</x:f>
        <x:v>Wochenende</x:v>
      </x:c>
      <x:c r="D50" s="123" t="n">
        <x:f>IF(A50="","",IF(N50&lt;&gt;"",N50,IF(B50="Nebensaison",IF(C50="Wochenende",'00_Eingabe'!$C$24,'00_Eingabe'!$B$24),IF(B50="Hauptsaison",IF(C50="Wochenende",'00_Eingabe'!$C$25,'00_Eingabe'!$B$25),IF(B50="Weihnachten",IF(C50="Wochenende",'00_Eingabe'!$C$26,'00_Eingabe'!$B$26),IF(C50="Wochenende",'00_Eingabe'!$C$27,'00_Eingabe'!$B$27))))))</x:f>
        <x:v>0.75</x:v>
      </x:c>
      <x:c r="E50" s="122" t="n">
        <x:f>IF(OR(A50="",D50=""),"",ROUND('00_Eingabe'!$B$8*D50,0))</x:f>
        <x:v>26</x:v>
      </x:c>
      <x:c r="F50" s="122" t="n">
        <x:f>IF(E50="","",ROUND(E50*'00_Eingabe'!$B$18,0))</x:f>
        <x:v>49</x:v>
      </x:c>
      <x:c r="G50" s="123" t="n">
        <x:f>IF(A50="","",IF(O50&lt;&gt;"",O50,IF(B50="Nebensaison",IF(C50="Wochenende",'00_Eingabe'!$E$24,'00_Eingabe'!$D$24),IF(B50="Hauptsaison",IF(C50="Wochenende",'00_Eingabe'!$E$25,'00_Eingabe'!$D$25),IF(B50="Weihnachten",IF(C50="Wochenende",'00_Eingabe'!$E$26,'00_Eingabe'!$D$26),IF(C50="Wochenende",'00_Eingabe'!$E$27,'00_Eingabe'!$D$27))))))</x:f>
        <x:v>0.75</x:v>
      </x:c>
      <x:c r="H50" s="122" t="n">
        <x:f>IF(OR(A50="",G50=""),"",ROUND('00_Eingabe'!$B$9*G50,0))</x:f>
        <x:v>3</x:v>
      </x:c>
      <x:c r="I50" s="122" t="n">
        <x:f>IF(H50="","",ROUND(H50*'00_Eingabe'!$B$19,0))</x:f>
        <x:v>7</x:v>
      </x:c>
      <x:c r="J50" s="122" t="n">
        <x:f>IF(OR(F50="",I50=""),"",F50+I50)</x:f>
        <x:v>56</x:v>
      </x:c>
      <x:c r="K50" s="122" t="n">
        <x:f>IF(J50="","",ROUND(J50*'00_Eingabe'!$B$16*(1+'00_Eingabe'!$B$14),0))</x:f>
        <x:v>64</x:v>
      </x:c>
      <x:c r="L50" s="122" t="n">
        <x:f>IF(B50="Betriebsferien",0,ROUND(J50*'00_Eingabe'!$B$40,0)+IF(C50="Wochenende",'00_Eingabe'!$B$42,'00_Eingabe'!$B$41))</x:f>
        <x:v>80</x:v>
      </x:c>
      <x:c r="M50" s="123" t="n">
        <x:f>IF(J50="","",ROUND(J50*'00_Eingabe'!$B$17*(1+'00_Eingabe'!$B$15),0))</x:f>
        <x:v>64</x:v>
      </x:c>
      <x:c r="N50" s="106"/>
      <x:c r="O50" s="106"/>
      <x:c r="P50" s="116"/>
      <x:c r="Q50" s="213" t="n">
        <x:f>IF(C50="Wochenende",1,0)</x:f>
        <x:v>1</x:v>
      </x:c>
      <x:c r="R50" s="213" t="n">
        <x:f>IF(AND(B50&lt;&gt;"Betriebsferien",OR(WEEKDAY(A50,2)=2,WEEKDAY(A50,2)=4)),1,0)</x:f>
        <x:v>0</x:v>
      </x:c>
      <x:c r="S50" s="214" t="n">
        <x:f>R50*MIN(1,'00_Eingabe'!$B$62/'00_Eingabe'!$B$61)</x:f>
        <x:v>0</x:v>
      </x:c>
      <x:c r="T50" s="213" t="n">
        <x:f>IF(B50="Betriebsferien",0,IF(B50="Nebensaison",IF(OR(WEEKDAY(A50,2)=1,WEEKDAY(A50,2)=3,WEEKDAY(A50,2)=5),1,0),IF(C50="Unterwoche",1,0)))</x:f>
        <x:v>0</x:v>
      </x:c>
      <x:c r="U50" s="213" t="n">
        <x:f>IF(B50="Betriebsferien",0,'00_Eingabe'!$G$24)</x:f>
        <x:v>8</x:v>
      </x:c>
    </x:row>
    <x:row r="51">
      <x:c r="A51" s="121" t="n">
        <x:f>IF(ROW()-4&lt;DATE('00_Eingabe'!$B$7+1,1,1)-DATE('00_Eingabe'!$B$7,1,1),DATE('00_Eingabe'!$B$7,1,1)+ROW()-4,"")</x:f>
        <x:v>45705</x:v>
      </x:c>
      <x:c r="B51" s="122" t="str">
        <x:f>IF(A51="","",IF(OR(AND(MONTH(A51)=12,DAY(A51)&gt;=20),AND(MONTH(A51)=1,DAY(A51)&lt;=2)),"Weihnachten",IF(OR(AND(MONTH(A51)=11,DAY(A51)&gt;=24),AND(MONTH(A51)=12,DAY(A51)&lt;=7)),"Betriebsferien",IF(OR(AND(MONTH(A51)=1,DAY(A51)&gt;=3),MONTH(A51)=2,MONTH(A51)=3,MONTH(A51)=4,MONTH(A51)=10,MONTH(A51)=11,AND(MONTH(A51)=12,DAY(A51)&lt;=15)),"Nebensaison","Hauptsaison"))))</x:f>
        <x:v>Nebensaison</x:v>
      </x:c>
      <x:c r="C51" s="122" t="str">
        <x:f>IF(A51="","",IF(WEEKDAY(A51,2)&gt;=6,"Wochenende","Unterwoche"))</x:f>
        <x:v>Unterwoche</x:v>
      </x:c>
      <x:c r="D51" s="123" t="n">
        <x:f>IF(A51="","",IF(N51&lt;&gt;"",N51,IF(B51="Nebensaison",IF(C51="Wochenende",'00_Eingabe'!$C$24,'00_Eingabe'!$B$24),IF(B51="Hauptsaison",IF(C51="Wochenende",'00_Eingabe'!$C$25,'00_Eingabe'!$B$25),IF(B51="Weihnachten",IF(C51="Wochenende",'00_Eingabe'!$C$26,'00_Eingabe'!$B$26),IF(C51="Wochenende",'00_Eingabe'!$C$27,'00_Eingabe'!$B$27))))))</x:f>
        <x:v>0.7</x:v>
      </x:c>
      <x:c r="E51" s="122" t="n">
        <x:f>IF(OR(A51="",D51=""),"",ROUND('00_Eingabe'!$B$8*D51,0))</x:f>
        <x:v>25</x:v>
      </x:c>
      <x:c r="F51" s="122" t="n">
        <x:f>IF(E51="","",ROUND(E51*'00_Eingabe'!$B$18,0))</x:f>
        <x:v>48</x:v>
      </x:c>
      <x:c r="G51" s="123" t="n">
        <x:f>IF(A51="","",IF(O51&lt;&gt;"",O51,IF(B51="Nebensaison",IF(C51="Wochenende",'00_Eingabe'!$E$24,'00_Eingabe'!$D$24),IF(B51="Hauptsaison",IF(C51="Wochenende",'00_Eingabe'!$E$25,'00_Eingabe'!$D$25),IF(B51="Weihnachten",IF(C51="Wochenende",'00_Eingabe'!$E$26,'00_Eingabe'!$D$26),IF(C51="Wochenende",'00_Eingabe'!$E$27,'00_Eingabe'!$D$27))))))</x:f>
        <x:v>0.7</x:v>
      </x:c>
      <x:c r="H51" s="122" t="n">
        <x:f>IF(OR(A51="",G51=""),"",ROUND('00_Eingabe'!$B$9*G51,0))</x:f>
        <x:v>3</x:v>
      </x:c>
      <x:c r="I51" s="122" t="n">
        <x:f>IF(H51="","",ROUND(H51*'00_Eingabe'!$B$19,0))</x:f>
        <x:v>7</x:v>
      </x:c>
      <x:c r="J51" s="122" t="n">
        <x:f>IF(OR(F51="",I51=""),"",F51+I51)</x:f>
        <x:v>55</x:v>
      </x:c>
      <x:c r="K51" s="122" t="n">
        <x:f>IF(J51="","",ROUND(J51*'00_Eingabe'!$B$16*(1+'00_Eingabe'!$B$14),0))</x:f>
        <x:v>63</x:v>
      </x:c>
      <x:c r="L51" s="122" t="n">
        <x:f>IF(B51="Betriebsferien",0,ROUND(J51*'00_Eingabe'!$B$40,0)+IF(C51="Wochenende",'00_Eingabe'!$B$42,'00_Eingabe'!$B$41))</x:f>
        <x:v>55</x:v>
      </x:c>
      <x:c r="M51" s="123" t="n">
        <x:f>IF(J51="","",ROUND(J51*'00_Eingabe'!$B$17*(1+'00_Eingabe'!$B$15),0))</x:f>
        <x:v>63</x:v>
      </x:c>
      <x:c r="N51" s="106"/>
      <x:c r="O51" s="106"/>
      <x:c r="P51" s="116"/>
      <x:c r="Q51" s="213" t="n">
        <x:f>IF(C51="Wochenende",1,0)</x:f>
        <x:v>0</x:v>
      </x:c>
      <x:c r="R51" s="213" t="n">
        <x:f>IF(AND(B51&lt;&gt;"Betriebsferien",OR(WEEKDAY(A51,2)=2,WEEKDAY(A51,2)=4)),1,0)</x:f>
        <x:v>0</x:v>
      </x:c>
      <x:c r="S51" s="214" t="n">
        <x:f>R51*MIN(1,'00_Eingabe'!$B$62/'00_Eingabe'!$B$61)</x:f>
        <x:v>0</x:v>
      </x:c>
      <x:c r="T51" s="213" t="n">
        <x:f>IF(B51="Betriebsferien",0,IF(B51="Nebensaison",IF(OR(WEEKDAY(A51,2)=1,WEEKDAY(A51,2)=3,WEEKDAY(A51,2)=5),1,0),IF(C51="Unterwoche",1,0)))</x:f>
        <x:v>1</x:v>
      </x:c>
      <x:c r="U51" s="213" t="n">
        <x:f>IF(B51="Betriebsferien",0,'00_Eingabe'!$G$24)</x:f>
        <x:v>8</x:v>
      </x:c>
    </x:row>
    <x:row r="52">
      <x:c r="A52" s="121" t="n">
        <x:f>IF(ROW()-4&lt;DATE('00_Eingabe'!$B$7+1,1,1)-DATE('00_Eingabe'!$B$7,1,1),DATE('00_Eingabe'!$B$7,1,1)+ROW()-4,"")</x:f>
        <x:v>45706</x:v>
      </x:c>
      <x:c r="B52" s="122" t="str">
        <x:f>IF(A52="","",IF(OR(AND(MONTH(A52)=12,DAY(A52)&gt;=20),AND(MONTH(A52)=1,DAY(A52)&lt;=2)),"Weihnachten",IF(OR(AND(MONTH(A52)=11,DAY(A52)&gt;=24),AND(MONTH(A52)=12,DAY(A52)&lt;=7)),"Betriebsferien",IF(OR(AND(MONTH(A52)=1,DAY(A52)&gt;=3),MONTH(A52)=2,MONTH(A52)=3,MONTH(A52)=4,MONTH(A52)=10,MONTH(A52)=11,AND(MONTH(A52)=12,DAY(A52)&lt;=15)),"Nebensaison","Hauptsaison"))))</x:f>
        <x:v>Nebensaison</x:v>
      </x:c>
      <x:c r="C52" s="122" t="str">
        <x:f>IF(A52="","",IF(WEEKDAY(A52,2)&gt;=6,"Wochenende","Unterwoche"))</x:f>
        <x:v>Unterwoche</x:v>
      </x:c>
      <x:c r="D52" s="123" t="n">
        <x:f>IF(A52="","",IF(N52&lt;&gt;"",N52,IF(B52="Nebensaison",IF(C52="Wochenende",'00_Eingabe'!$C$24,'00_Eingabe'!$B$24),IF(B52="Hauptsaison",IF(C52="Wochenende",'00_Eingabe'!$C$25,'00_Eingabe'!$B$25),IF(B52="Weihnachten",IF(C52="Wochenende",'00_Eingabe'!$C$26,'00_Eingabe'!$B$26),IF(C52="Wochenende",'00_Eingabe'!$C$27,'00_Eingabe'!$B$27))))))</x:f>
        <x:v>0.7</x:v>
      </x:c>
      <x:c r="E52" s="122" t="n">
        <x:f>IF(OR(A52="",D52=""),"",ROUND('00_Eingabe'!$B$8*D52,0))</x:f>
        <x:v>25</x:v>
      </x:c>
      <x:c r="F52" s="122" t="n">
        <x:f>IF(E52="","",ROUND(E52*'00_Eingabe'!$B$18,0))</x:f>
        <x:v>48</x:v>
      </x:c>
      <x:c r="G52" s="123" t="n">
        <x:f>IF(A52="","",IF(O52&lt;&gt;"",O52,IF(B52="Nebensaison",IF(C52="Wochenende",'00_Eingabe'!$E$24,'00_Eingabe'!$D$24),IF(B52="Hauptsaison",IF(C52="Wochenende",'00_Eingabe'!$E$25,'00_Eingabe'!$D$25),IF(B52="Weihnachten",IF(C52="Wochenende",'00_Eingabe'!$E$26,'00_Eingabe'!$D$26),IF(C52="Wochenende",'00_Eingabe'!$E$27,'00_Eingabe'!$D$27))))))</x:f>
        <x:v>0.7</x:v>
      </x:c>
      <x:c r="H52" s="122" t="n">
        <x:f>IF(OR(A52="",G52=""),"",ROUND('00_Eingabe'!$B$9*G52,0))</x:f>
        <x:v>3</x:v>
      </x:c>
      <x:c r="I52" s="122" t="n">
        <x:f>IF(H52="","",ROUND(H52*'00_Eingabe'!$B$19,0))</x:f>
        <x:v>7</x:v>
      </x:c>
      <x:c r="J52" s="122" t="n">
        <x:f>IF(OR(F52="",I52=""),"",F52+I52)</x:f>
        <x:v>55</x:v>
      </x:c>
      <x:c r="K52" s="122" t="n">
        <x:f>IF(J52="","",ROUND(J52*'00_Eingabe'!$B$16*(1+'00_Eingabe'!$B$14),0))</x:f>
        <x:v>63</x:v>
      </x:c>
      <x:c r="L52" s="122" t="n">
        <x:f>IF(B52="Betriebsferien",0,ROUND(J52*'00_Eingabe'!$B$40,0)+IF(C52="Wochenende",'00_Eingabe'!$B$42,'00_Eingabe'!$B$41))</x:f>
        <x:v>55</x:v>
      </x:c>
      <x:c r="M52" s="123" t="n">
        <x:f>IF(J52="","",ROUND(J52*'00_Eingabe'!$B$17*(1+'00_Eingabe'!$B$15),0))</x:f>
        <x:v>63</x:v>
      </x:c>
      <x:c r="N52" s="106"/>
      <x:c r="O52" s="106"/>
      <x:c r="P52" s="116"/>
      <x:c r="Q52" s="213" t="n">
        <x:f>IF(C52="Wochenende",1,0)</x:f>
        <x:v>0</x:v>
      </x:c>
      <x:c r="R52" s="213" t="n">
        <x:f>IF(AND(B52&lt;&gt;"Betriebsferien",OR(WEEKDAY(A52,2)=2,WEEKDAY(A52,2)=4)),1,0)</x:f>
        <x:v>1</x:v>
      </x:c>
      <x:c r="S52" s="214" t="n">
        <x:f>R52*MIN(1,'00_Eingabe'!$B$62/'00_Eingabe'!$B$61)</x:f>
        <x:v>0.5</x:v>
      </x:c>
      <x:c r="T52" s="213" t="n">
        <x:f>IF(B52="Betriebsferien",0,IF(B52="Nebensaison",IF(OR(WEEKDAY(A52,2)=1,WEEKDAY(A52,2)=3,WEEKDAY(A52,2)=5),1,0),IF(C52="Unterwoche",1,0)))</x:f>
        <x:v>0</x:v>
      </x:c>
      <x:c r="U52" s="213" t="n">
        <x:f>IF(B52="Betriebsferien",0,'00_Eingabe'!$G$24)</x:f>
        <x:v>8</x:v>
      </x:c>
    </x:row>
    <x:row r="53">
      <x:c r="A53" s="121" t="n">
        <x:f>IF(ROW()-4&lt;DATE('00_Eingabe'!$B$7+1,1,1)-DATE('00_Eingabe'!$B$7,1,1),DATE('00_Eingabe'!$B$7,1,1)+ROW()-4,"")</x:f>
        <x:v>45707</x:v>
      </x:c>
      <x:c r="B53" s="122" t="str">
        <x:f>IF(A53="","",IF(OR(AND(MONTH(A53)=12,DAY(A53)&gt;=20),AND(MONTH(A53)=1,DAY(A53)&lt;=2)),"Weihnachten",IF(OR(AND(MONTH(A53)=11,DAY(A53)&gt;=24),AND(MONTH(A53)=12,DAY(A53)&lt;=7)),"Betriebsferien",IF(OR(AND(MONTH(A53)=1,DAY(A53)&gt;=3),MONTH(A53)=2,MONTH(A53)=3,MONTH(A53)=4,MONTH(A53)=10,MONTH(A53)=11,AND(MONTH(A53)=12,DAY(A53)&lt;=15)),"Nebensaison","Hauptsaison"))))</x:f>
        <x:v>Nebensaison</x:v>
      </x:c>
      <x:c r="C53" s="122" t="str">
        <x:f>IF(A53="","",IF(WEEKDAY(A53,2)&gt;=6,"Wochenende","Unterwoche"))</x:f>
        <x:v>Unterwoche</x:v>
      </x:c>
      <x:c r="D53" s="123" t="n">
        <x:f>IF(A53="","",IF(N53&lt;&gt;"",N53,IF(B53="Nebensaison",IF(C53="Wochenende",'00_Eingabe'!$C$24,'00_Eingabe'!$B$24),IF(B53="Hauptsaison",IF(C53="Wochenende",'00_Eingabe'!$C$25,'00_Eingabe'!$B$25),IF(B53="Weihnachten",IF(C53="Wochenende",'00_Eingabe'!$C$26,'00_Eingabe'!$B$26),IF(C53="Wochenende",'00_Eingabe'!$C$27,'00_Eingabe'!$B$27))))))</x:f>
        <x:v>0.7</x:v>
      </x:c>
      <x:c r="E53" s="122" t="n">
        <x:f>IF(OR(A53="",D53=""),"",ROUND('00_Eingabe'!$B$8*D53,0))</x:f>
        <x:v>25</x:v>
      </x:c>
      <x:c r="F53" s="122" t="n">
        <x:f>IF(E53="","",ROUND(E53*'00_Eingabe'!$B$18,0))</x:f>
        <x:v>48</x:v>
      </x:c>
      <x:c r="G53" s="123" t="n">
        <x:f>IF(A53="","",IF(O53&lt;&gt;"",O53,IF(B53="Nebensaison",IF(C53="Wochenende",'00_Eingabe'!$E$24,'00_Eingabe'!$D$24),IF(B53="Hauptsaison",IF(C53="Wochenende",'00_Eingabe'!$E$25,'00_Eingabe'!$D$25),IF(B53="Weihnachten",IF(C53="Wochenende",'00_Eingabe'!$E$26,'00_Eingabe'!$D$26),IF(C53="Wochenende",'00_Eingabe'!$E$27,'00_Eingabe'!$D$27))))))</x:f>
        <x:v>0.7</x:v>
      </x:c>
      <x:c r="H53" s="122" t="n">
        <x:f>IF(OR(A53="",G53=""),"",ROUND('00_Eingabe'!$B$9*G53,0))</x:f>
        <x:v>3</x:v>
      </x:c>
      <x:c r="I53" s="122" t="n">
        <x:f>IF(H53="","",ROUND(H53*'00_Eingabe'!$B$19,0))</x:f>
        <x:v>7</x:v>
      </x:c>
      <x:c r="J53" s="122" t="n">
        <x:f>IF(OR(F53="",I53=""),"",F53+I53)</x:f>
        <x:v>55</x:v>
      </x:c>
      <x:c r="K53" s="122" t="n">
        <x:f>IF(J53="","",ROUND(J53*'00_Eingabe'!$B$16*(1+'00_Eingabe'!$B$14),0))</x:f>
        <x:v>63</x:v>
      </x:c>
      <x:c r="L53" s="122" t="n">
        <x:f>IF(B53="Betriebsferien",0,ROUND(J53*'00_Eingabe'!$B$40,0)+IF(C53="Wochenende",'00_Eingabe'!$B$42,'00_Eingabe'!$B$41))</x:f>
        <x:v>55</x:v>
      </x:c>
      <x:c r="M53" s="123" t="n">
        <x:f>IF(J53="","",ROUND(J53*'00_Eingabe'!$B$17*(1+'00_Eingabe'!$B$15),0))</x:f>
        <x:v>63</x:v>
      </x:c>
      <x:c r="N53" s="106"/>
      <x:c r="O53" s="106"/>
      <x:c r="P53" s="116"/>
      <x:c r="Q53" s="213" t="n">
        <x:f>IF(C53="Wochenende",1,0)</x:f>
        <x:v>0</x:v>
      </x:c>
      <x:c r="R53" s="213" t="n">
        <x:f>IF(AND(B53&lt;&gt;"Betriebsferien",OR(WEEKDAY(A53,2)=2,WEEKDAY(A53,2)=4)),1,0)</x:f>
        <x:v>0</x:v>
      </x:c>
      <x:c r="S53" s="214" t="n">
        <x:f>R53*MIN(1,'00_Eingabe'!$B$62/'00_Eingabe'!$B$61)</x:f>
        <x:v>0</x:v>
      </x:c>
      <x:c r="T53" s="213" t="n">
        <x:f>IF(B53="Betriebsferien",0,IF(B53="Nebensaison",IF(OR(WEEKDAY(A53,2)=1,WEEKDAY(A53,2)=3,WEEKDAY(A53,2)=5),1,0),IF(C53="Unterwoche",1,0)))</x:f>
        <x:v>1</x:v>
      </x:c>
      <x:c r="U53" s="213" t="n">
        <x:f>IF(B53="Betriebsferien",0,'00_Eingabe'!$G$24)</x:f>
        <x:v>8</x:v>
      </x:c>
    </x:row>
    <x:row r="54">
      <x:c r="A54" s="121" t="n">
        <x:f>IF(ROW()-4&lt;DATE('00_Eingabe'!$B$7+1,1,1)-DATE('00_Eingabe'!$B$7,1,1),DATE('00_Eingabe'!$B$7,1,1)+ROW()-4,"")</x:f>
        <x:v>45708</x:v>
      </x:c>
      <x:c r="B54" s="122" t="str">
        <x:f>IF(A54="","",IF(OR(AND(MONTH(A54)=12,DAY(A54)&gt;=20),AND(MONTH(A54)=1,DAY(A54)&lt;=2)),"Weihnachten",IF(OR(AND(MONTH(A54)=11,DAY(A54)&gt;=24),AND(MONTH(A54)=12,DAY(A54)&lt;=7)),"Betriebsferien",IF(OR(AND(MONTH(A54)=1,DAY(A54)&gt;=3),MONTH(A54)=2,MONTH(A54)=3,MONTH(A54)=4,MONTH(A54)=10,MONTH(A54)=11,AND(MONTH(A54)=12,DAY(A54)&lt;=15)),"Nebensaison","Hauptsaison"))))</x:f>
        <x:v>Nebensaison</x:v>
      </x:c>
      <x:c r="C54" s="122" t="str">
        <x:f>IF(A54="","",IF(WEEKDAY(A54,2)&gt;=6,"Wochenende","Unterwoche"))</x:f>
        <x:v>Unterwoche</x:v>
      </x:c>
      <x:c r="D54" s="123" t="n">
        <x:f>IF(A54="","",IF(N54&lt;&gt;"",N54,IF(B54="Nebensaison",IF(C54="Wochenende",'00_Eingabe'!$C$24,'00_Eingabe'!$B$24),IF(B54="Hauptsaison",IF(C54="Wochenende",'00_Eingabe'!$C$25,'00_Eingabe'!$B$25),IF(B54="Weihnachten",IF(C54="Wochenende",'00_Eingabe'!$C$26,'00_Eingabe'!$B$26),IF(C54="Wochenende",'00_Eingabe'!$C$27,'00_Eingabe'!$B$27))))))</x:f>
        <x:v>0.7</x:v>
      </x:c>
      <x:c r="E54" s="122" t="n">
        <x:f>IF(OR(A54="",D54=""),"",ROUND('00_Eingabe'!$B$8*D54,0))</x:f>
        <x:v>25</x:v>
      </x:c>
      <x:c r="F54" s="122" t="n">
        <x:f>IF(E54="","",ROUND(E54*'00_Eingabe'!$B$18,0))</x:f>
        <x:v>48</x:v>
      </x:c>
      <x:c r="G54" s="123" t="n">
        <x:f>IF(A54="","",IF(O54&lt;&gt;"",O54,IF(B54="Nebensaison",IF(C54="Wochenende",'00_Eingabe'!$E$24,'00_Eingabe'!$D$24),IF(B54="Hauptsaison",IF(C54="Wochenende",'00_Eingabe'!$E$25,'00_Eingabe'!$D$25),IF(B54="Weihnachten",IF(C54="Wochenende",'00_Eingabe'!$E$26,'00_Eingabe'!$D$26),IF(C54="Wochenende",'00_Eingabe'!$E$27,'00_Eingabe'!$D$27))))))</x:f>
        <x:v>0.7</x:v>
      </x:c>
      <x:c r="H54" s="122" t="n">
        <x:f>IF(OR(A54="",G54=""),"",ROUND('00_Eingabe'!$B$9*G54,0))</x:f>
        <x:v>3</x:v>
      </x:c>
      <x:c r="I54" s="122" t="n">
        <x:f>IF(H54="","",ROUND(H54*'00_Eingabe'!$B$19,0))</x:f>
        <x:v>7</x:v>
      </x:c>
      <x:c r="J54" s="122" t="n">
        <x:f>IF(OR(F54="",I54=""),"",F54+I54)</x:f>
        <x:v>55</x:v>
      </x:c>
      <x:c r="K54" s="122" t="n">
        <x:f>IF(J54="","",ROUND(J54*'00_Eingabe'!$B$16*(1+'00_Eingabe'!$B$14),0))</x:f>
        <x:v>63</x:v>
      </x:c>
      <x:c r="L54" s="122" t="n">
        <x:f>IF(B54="Betriebsferien",0,ROUND(J54*'00_Eingabe'!$B$40,0)+IF(C54="Wochenende",'00_Eingabe'!$B$42,'00_Eingabe'!$B$41))</x:f>
        <x:v>55</x:v>
      </x:c>
      <x:c r="M54" s="123" t="n">
        <x:f>IF(J54="","",ROUND(J54*'00_Eingabe'!$B$17*(1+'00_Eingabe'!$B$15),0))</x:f>
        <x:v>63</x:v>
      </x:c>
      <x:c r="N54" s="106"/>
      <x:c r="O54" s="106"/>
      <x:c r="P54" s="116"/>
      <x:c r="Q54" s="213" t="n">
        <x:f>IF(C54="Wochenende",1,0)</x:f>
        <x:v>0</x:v>
      </x:c>
      <x:c r="R54" s="213" t="n">
        <x:f>IF(AND(B54&lt;&gt;"Betriebsferien",OR(WEEKDAY(A54,2)=2,WEEKDAY(A54,2)=4)),1,0)</x:f>
        <x:v>1</x:v>
      </x:c>
      <x:c r="S54" s="214" t="n">
        <x:f>R54*MIN(1,'00_Eingabe'!$B$62/'00_Eingabe'!$B$61)</x:f>
        <x:v>0.5</x:v>
      </x:c>
      <x:c r="T54" s="213" t="n">
        <x:f>IF(B54="Betriebsferien",0,IF(B54="Nebensaison",IF(OR(WEEKDAY(A54,2)=1,WEEKDAY(A54,2)=3,WEEKDAY(A54,2)=5),1,0),IF(C54="Unterwoche",1,0)))</x:f>
        <x:v>0</x:v>
      </x:c>
      <x:c r="U54" s="213" t="n">
        <x:f>IF(B54="Betriebsferien",0,'00_Eingabe'!$G$24)</x:f>
        <x:v>8</x:v>
      </x:c>
    </x:row>
    <x:row r="55">
      <x:c r="A55" s="121" t="n">
        <x:f>IF(ROW()-4&lt;DATE('00_Eingabe'!$B$7+1,1,1)-DATE('00_Eingabe'!$B$7,1,1),DATE('00_Eingabe'!$B$7,1,1)+ROW()-4,"")</x:f>
        <x:v>45709</x:v>
      </x:c>
      <x:c r="B55" s="122" t="str">
        <x:f>IF(A55="","",IF(OR(AND(MONTH(A55)=12,DAY(A55)&gt;=20),AND(MONTH(A55)=1,DAY(A55)&lt;=2)),"Weihnachten",IF(OR(AND(MONTH(A55)=11,DAY(A55)&gt;=24),AND(MONTH(A55)=12,DAY(A55)&lt;=7)),"Betriebsferien",IF(OR(AND(MONTH(A55)=1,DAY(A55)&gt;=3),MONTH(A55)=2,MONTH(A55)=3,MONTH(A55)=4,MONTH(A55)=10,MONTH(A55)=11,AND(MONTH(A55)=12,DAY(A55)&lt;=15)),"Nebensaison","Hauptsaison"))))</x:f>
        <x:v>Nebensaison</x:v>
      </x:c>
      <x:c r="C55" s="122" t="str">
        <x:f>IF(A55="","",IF(WEEKDAY(A55,2)&gt;=6,"Wochenende","Unterwoche"))</x:f>
        <x:v>Unterwoche</x:v>
      </x:c>
      <x:c r="D55" s="123" t="n">
        <x:f>IF(A55="","",IF(N55&lt;&gt;"",N55,IF(B55="Nebensaison",IF(C55="Wochenende",'00_Eingabe'!$C$24,'00_Eingabe'!$B$24),IF(B55="Hauptsaison",IF(C55="Wochenende",'00_Eingabe'!$C$25,'00_Eingabe'!$B$25),IF(B55="Weihnachten",IF(C55="Wochenende",'00_Eingabe'!$C$26,'00_Eingabe'!$B$26),IF(C55="Wochenende",'00_Eingabe'!$C$27,'00_Eingabe'!$B$27))))))</x:f>
        <x:v>0.7</x:v>
      </x:c>
      <x:c r="E55" s="122" t="n">
        <x:f>IF(OR(A55="",D55=""),"",ROUND('00_Eingabe'!$B$8*D55,0))</x:f>
        <x:v>25</x:v>
      </x:c>
      <x:c r="F55" s="122" t="n">
        <x:f>IF(E55="","",ROUND(E55*'00_Eingabe'!$B$18,0))</x:f>
        <x:v>48</x:v>
      </x:c>
      <x:c r="G55" s="123" t="n">
        <x:f>IF(A55="","",IF(O55&lt;&gt;"",O55,IF(B55="Nebensaison",IF(C55="Wochenende",'00_Eingabe'!$E$24,'00_Eingabe'!$D$24),IF(B55="Hauptsaison",IF(C55="Wochenende",'00_Eingabe'!$E$25,'00_Eingabe'!$D$25),IF(B55="Weihnachten",IF(C55="Wochenende",'00_Eingabe'!$E$26,'00_Eingabe'!$D$26),IF(C55="Wochenende",'00_Eingabe'!$E$27,'00_Eingabe'!$D$27))))))</x:f>
        <x:v>0.7</x:v>
      </x:c>
      <x:c r="H55" s="122" t="n">
        <x:f>IF(OR(A55="",G55=""),"",ROUND('00_Eingabe'!$B$9*G55,0))</x:f>
        <x:v>3</x:v>
      </x:c>
      <x:c r="I55" s="122" t="n">
        <x:f>IF(H55="","",ROUND(H55*'00_Eingabe'!$B$19,0))</x:f>
        <x:v>7</x:v>
      </x:c>
      <x:c r="J55" s="122" t="n">
        <x:f>IF(OR(F55="",I55=""),"",F55+I55)</x:f>
        <x:v>55</x:v>
      </x:c>
      <x:c r="K55" s="122" t="n">
        <x:f>IF(J55="","",ROUND(J55*'00_Eingabe'!$B$16*(1+'00_Eingabe'!$B$14),0))</x:f>
        <x:v>63</x:v>
      </x:c>
      <x:c r="L55" s="122" t="n">
        <x:f>IF(B55="Betriebsferien",0,ROUND(J55*'00_Eingabe'!$B$40,0)+IF(C55="Wochenende",'00_Eingabe'!$B$42,'00_Eingabe'!$B$41))</x:f>
        <x:v>55</x:v>
      </x:c>
      <x:c r="M55" s="123" t="n">
        <x:f>IF(J55="","",ROUND(J55*'00_Eingabe'!$B$17*(1+'00_Eingabe'!$B$15),0))</x:f>
        <x:v>63</x:v>
      </x:c>
      <x:c r="N55" s="106"/>
      <x:c r="O55" s="106"/>
      <x:c r="P55" s="116"/>
      <x:c r="Q55" s="213" t="n">
        <x:f>IF(C55="Wochenende",1,0)</x:f>
        <x:v>0</x:v>
      </x:c>
      <x:c r="R55" s="213" t="n">
        <x:f>IF(AND(B55&lt;&gt;"Betriebsferien",OR(WEEKDAY(A55,2)=2,WEEKDAY(A55,2)=4)),1,0)</x:f>
        <x:v>0</x:v>
      </x:c>
      <x:c r="S55" s="214" t="n">
        <x:f>R55*MIN(1,'00_Eingabe'!$B$62/'00_Eingabe'!$B$61)</x:f>
        <x:v>0</x:v>
      </x:c>
      <x:c r="T55" s="213" t="n">
        <x:f>IF(B55="Betriebsferien",0,IF(B55="Nebensaison",IF(OR(WEEKDAY(A55,2)=1,WEEKDAY(A55,2)=3,WEEKDAY(A55,2)=5),1,0),IF(C55="Unterwoche",1,0)))</x:f>
        <x:v>1</x:v>
      </x:c>
      <x:c r="U55" s="213" t="n">
        <x:f>IF(B55="Betriebsferien",0,'00_Eingabe'!$G$24)</x:f>
        <x:v>8</x:v>
      </x:c>
    </x:row>
    <x:row r="56">
      <x:c r="A56" s="121" t="n">
        <x:f>IF(ROW()-4&lt;DATE('00_Eingabe'!$B$7+1,1,1)-DATE('00_Eingabe'!$B$7,1,1),DATE('00_Eingabe'!$B$7,1,1)+ROW()-4,"")</x:f>
        <x:v>45710</x:v>
      </x:c>
      <x:c r="B56" s="122" t="str">
        <x:f>IF(A56="","",IF(OR(AND(MONTH(A56)=12,DAY(A56)&gt;=20),AND(MONTH(A56)=1,DAY(A56)&lt;=2)),"Weihnachten",IF(OR(AND(MONTH(A56)=11,DAY(A56)&gt;=24),AND(MONTH(A56)=12,DAY(A56)&lt;=7)),"Betriebsferien",IF(OR(AND(MONTH(A56)=1,DAY(A56)&gt;=3),MONTH(A56)=2,MONTH(A56)=3,MONTH(A56)=4,MONTH(A56)=10,MONTH(A56)=11,AND(MONTH(A56)=12,DAY(A56)&lt;=15)),"Nebensaison","Hauptsaison"))))</x:f>
        <x:v>Nebensaison</x:v>
      </x:c>
      <x:c r="C56" s="122" t="str">
        <x:f>IF(A56="","",IF(WEEKDAY(A56,2)&gt;=6,"Wochenende","Unterwoche"))</x:f>
        <x:v>Wochenende</x:v>
      </x:c>
      <x:c r="D56" s="123" t="n">
        <x:f>IF(A56="","",IF(N56&lt;&gt;"",N56,IF(B56="Nebensaison",IF(C56="Wochenende",'00_Eingabe'!$C$24,'00_Eingabe'!$B$24),IF(B56="Hauptsaison",IF(C56="Wochenende",'00_Eingabe'!$C$25,'00_Eingabe'!$B$25),IF(B56="Weihnachten",IF(C56="Wochenende",'00_Eingabe'!$C$26,'00_Eingabe'!$B$26),IF(C56="Wochenende",'00_Eingabe'!$C$27,'00_Eingabe'!$B$27))))))</x:f>
        <x:v>0.75</x:v>
      </x:c>
      <x:c r="E56" s="122" t="n">
        <x:f>IF(OR(A56="",D56=""),"",ROUND('00_Eingabe'!$B$8*D56,0))</x:f>
        <x:v>26</x:v>
      </x:c>
      <x:c r="F56" s="122" t="n">
        <x:f>IF(E56="","",ROUND(E56*'00_Eingabe'!$B$18,0))</x:f>
        <x:v>49</x:v>
      </x:c>
      <x:c r="G56" s="123" t="n">
        <x:f>IF(A56="","",IF(O56&lt;&gt;"",O56,IF(B56="Nebensaison",IF(C56="Wochenende",'00_Eingabe'!$E$24,'00_Eingabe'!$D$24),IF(B56="Hauptsaison",IF(C56="Wochenende",'00_Eingabe'!$E$25,'00_Eingabe'!$D$25),IF(B56="Weihnachten",IF(C56="Wochenende",'00_Eingabe'!$E$26,'00_Eingabe'!$D$26),IF(C56="Wochenende",'00_Eingabe'!$E$27,'00_Eingabe'!$D$27))))))</x:f>
        <x:v>0.75</x:v>
      </x:c>
      <x:c r="H56" s="122" t="n">
        <x:f>IF(OR(A56="",G56=""),"",ROUND('00_Eingabe'!$B$9*G56,0))</x:f>
        <x:v>3</x:v>
      </x:c>
      <x:c r="I56" s="122" t="n">
        <x:f>IF(H56="","",ROUND(H56*'00_Eingabe'!$B$19,0))</x:f>
        <x:v>7</x:v>
      </x:c>
      <x:c r="J56" s="122" t="n">
        <x:f>IF(OR(F56="",I56=""),"",F56+I56)</x:f>
        <x:v>56</x:v>
      </x:c>
      <x:c r="K56" s="122" t="n">
        <x:f>IF(J56="","",ROUND(J56*'00_Eingabe'!$B$16*(1+'00_Eingabe'!$B$14),0))</x:f>
        <x:v>64</x:v>
      </x:c>
      <x:c r="L56" s="122" t="n">
        <x:f>IF(B56="Betriebsferien",0,ROUND(J56*'00_Eingabe'!$B$40,0)+IF(C56="Wochenende",'00_Eingabe'!$B$42,'00_Eingabe'!$B$41))</x:f>
        <x:v>80</x:v>
      </x:c>
      <x:c r="M56" s="123" t="n">
        <x:f>IF(J56="","",ROUND(J56*'00_Eingabe'!$B$17*(1+'00_Eingabe'!$B$15),0))</x:f>
        <x:v>64</x:v>
      </x:c>
      <x:c r="N56" s="106"/>
      <x:c r="O56" s="106"/>
      <x:c r="P56" s="116"/>
      <x:c r="Q56" s="213" t="n">
        <x:f>IF(C56="Wochenende",1,0)</x:f>
        <x:v>1</x:v>
      </x:c>
      <x:c r="R56" s="213" t="n">
        <x:f>IF(AND(B56&lt;&gt;"Betriebsferien",OR(WEEKDAY(A56,2)=2,WEEKDAY(A56,2)=4)),1,0)</x:f>
        <x:v>0</x:v>
      </x:c>
      <x:c r="S56" s="214" t="n">
        <x:f>R56*MIN(1,'00_Eingabe'!$B$62/'00_Eingabe'!$B$61)</x:f>
        <x:v>0</x:v>
      </x:c>
      <x:c r="T56" s="213" t="n">
        <x:f>IF(B56="Betriebsferien",0,IF(B56="Nebensaison",IF(OR(WEEKDAY(A56,2)=1,WEEKDAY(A56,2)=3,WEEKDAY(A56,2)=5),1,0),IF(C56="Unterwoche",1,0)))</x:f>
        <x:v>0</x:v>
      </x:c>
      <x:c r="U56" s="213" t="n">
        <x:f>IF(B56="Betriebsferien",0,'00_Eingabe'!$G$24)</x:f>
        <x:v>8</x:v>
      </x:c>
    </x:row>
    <x:row r="57">
      <x:c r="A57" s="121" t="n">
        <x:f>IF(ROW()-4&lt;DATE('00_Eingabe'!$B$7+1,1,1)-DATE('00_Eingabe'!$B$7,1,1),DATE('00_Eingabe'!$B$7,1,1)+ROW()-4,"")</x:f>
        <x:v>45711</x:v>
      </x:c>
      <x:c r="B57" s="122" t="str">
        <x:f>IF(A57="","",IF(OR(AND(MONTH(A57)=12,DAY(A57)&gt;=20),AND(MONTH(A57)=1,DAY(A57)&lt;=2)),"Weihnachten",IF(OR(AND(MONTH(A57)=11,DAY(A57)&gt;=24),AND(MONTH(A57)=12,DAY(A57)&lt;=7)),"Betriebsferien",IF(OR(AND(MONTH(A57)=1,DAY(A57)&gt;=3),MONTH(A57)=2,MONTH(A57)=3,MONTH(A57)=4,MONTH(A57)=10,MONTH(A57)=11,AND(MONTH(A57)=12,DAY(A57)&lt;=15)),"Nebensaison","Hauptsaison"))))</x:f>
        <x:v>Nebensaison</x:v>
      </x:c>
      <x:c r="C57" s="122" t="str">
        <x:f>IF(A57="","",IF(WEEKDAY(A57,2)&gt;=6,"Wochenende","Unterwoche"))</x:f>
        <x:v>Wochenende</x:v>
      </x:c>
      <x:c r="D57" s="123" t="n">
        <x:f>IF(A57="","",IF(N57&lt;&gt;"",N57,IF(B57="Nebensaison",IF(C57="Wochenende",'00_Eingabe'!$C$24,'00_Eingabe'!$B$24),IF(B57="Hauptsaison",IF(C57="Wochenende",'00_Eingabe'!$C$25,'00_Eingabe'!$B$25),IF(B57="Weihnachten",IF(C57="Wochenende",'00_Eingabe'!$C$26,'00_Eingabe'!$B$26),IF(C57="Wochenende",'00_Eingabe'!$C$27,'00_Eingabe'!$B$27))))))</x:f>
        <x:v>0.75</x:v>
      </x:c>
      <x:c r="E57" s="122" t="n">
        <x:f>IF(OR(A57="",D57=""),"",ROUND('00_Eingabe'!$B$8*D57,0))</x:f>
        <x:v>26</x:v>
      </x:c>
      <x:c r="F57" s="122" t="n">
        <x:f>IF(E57="","",ROUND(E57*'00_Eingabe'!$B$18,0))</x:f>
        <x:v>49</x:v>
      </x:c>
      <x:c r="G57" s="123" t="n">
        <x:f>IF(A57="","",IF(O57&lt;&gt;"",O57,IF(B57="Nebensaison",IF(C57="Wochenende",'00_Eingabe'!$E$24,'00_Eingabe'!$D$24),IF(B57="Hauptsaison",IF(C57="Wochenende",'00_Eingabe'!$E$25,'00_Eingabe'!$D$25),IF(B57="Weihnachten",IF(C57="Wochenende",'00_Eingabe'!$E$26,'00_Eingabe'!$D$26),IF(C57="Wochenende",'00_Eingabe'!$E$27,'00_Eingabe'!$D$27))))))</x:f>
        <x:v>0.75</x:v>
      </x:c>
      <x:c r="H57" s="122" t="n">
        <x:f>IF(OR(A57="",G57=""),"",ROUND('00_Eingabe'!$B$9*G57,0))</x:f>
        <x:v>3</x:v>
      </x:c>
      <x:c r="I57" s="122" t="n">
        <x:f>IF(H57="","",ROUND(H57*'00_Eingabe'!$B$19,0))</x:f>
        <x:v>7</x:v>
      </x:c>
      <x:c r="J57" s="122" t="n">
        <x:f>IF(OR(F57="",I57=""),"",F57+I57)</x:f>
        <x:v>56</x:v>
      </x:c>
      <x:c r="K57" s="122" t="n">
        <x:f>IF(J57="","",ROUND(J57*'00_Eingabe'!$B$16*(1+'00_Eingabe'!$B$14),0))</x:f>
        <x:v>64</x:v>
      </x:c>
      <x:c r="L57" s="122" t="n">
        <x:f>IF(B57="Betriebsferien",0,ROUND(J57*'00_Eingabe'!$B$40,0)+IF(C57="Wochenende",'00_Eingabe'!$B$42,'00_Eingabe'!$B$41))</x:f>
        <x:v>80</x:v>
      </x:c>
      <x:c r="M57" s="123" t="n">
        <x:f>IF(J57="","",ROUND(J57*'00_Eingabe'!$B$17*(1+'00_Eingabe'!$B$15),0))</x:f>
        <x:v>64</x:v>
      </x:c>
      <x:c r="N57" s="106"/>
      <x:c r="O57" s="106"/>
      <x:c r="P57" s="116"/>
      <x:c r="Q57" s="213" t="n">
        <x:f>IF(C57="Wochenende",1,0)</x:f>
        <x:v>1</x:v>
      </x:c>
      <x:c r="R57" s="213" t="n">
        <x:f>IF(AND(B57&lt;&gt;"Betriebsferien",OR(WEEKDAY(A57,2)=2,WEEKDAY(A57,2)=4)),1,0)</x:f>
        <x:v>0</x:v>
      </x:c>
      <x:c r="S57" s="214" t="n">
        <x:f>R57*MIN(1,'00_Eingabe'!$B$62/'00_Eingabe'!$B$61)</x:f>
        <x:v>0</x:v>
      </x:c>
      <x:c r="T57" s="213" t="n">
        <x:f>IF(B57="Betriebsferien",0,IF(B57="Nebensaison",IF(OR(WEEKDAY(A57,2)=1,WEEKDAY(A57,2)=3,WEEKDAY(A57,2)=5),1,0),IF(C57="Unterwoche",1,0)))</x:f>
        <x:v>0</x:v>
      </x:c>
      <x:c r="U57" s="213" t="n">
        <x:f>IF(B57="Betriebsferien",0,'00_Eingabe'!$G$24)</x:f>
        <x:v>8</x:v>
      </x:c>
    </x:row>
    <x:row r="58">
      <x:c r="A58" s="121" t="n">
        <x:f>IF(ROW()-4&lt;DATE('00_Eingabe'!$B$7+1,1,1)-DATE('00_Eingabe'!$B$7,1,1),DATE('00_Eingabe'!$B$7,1,1)+ROW()-4,"")</x:f>
        <x:v>45712</x:v>
      </x:c>
      <x:c r="B58" s="122" t="str">
        <x:f>IF(A58="","",IF(OR(AND(MONTH(A58)=12,DAY(A58)&gt;=20),AND(MONTH(A58)=1,DAY(A58)&lt;=2)),"Weihnachten",IF(OR(AND(MONTH(A58)=11,DAY(A58)&gt;=24),AND(MONTH(A58)=12,DAY(A58)&lt;=7)),"Betriebsferien",IF(OR(AND(MONTH(A58)=1,DAY(A58)&gt;=3),MONTH(A58)=2,MONTH(A58)=3,MONTH(A58)=4,MONTH(A58)=10,MONTH(A58)=11,AND(MONTH(A58)=12,DAY(A58)&lt;=15)),"Nebensaison","Hauptsaison"))))</x:f>
        <x:v>Nebensaison</x:v>
      </x:c>
      <x:c r="C58" s="122" t="str">
        <x:f>IF(A58="","",IF(WEEKDAY(A58,2)&gt;=6,"Wochenende","Unterwoche"))</x:f>
        <x:v>Unterwoche</x:v>
      </x:c>
      <x:c r="D58" s="123" t="n">
        <x:f>IF(A58="","",IF(N58&lt;&gt;"",N58,IF(B58="Nebensaison",IF(C58="Wochenende",'00_Eingabe'!$C$24,'00_Eingabe'!$B$24),IF(B58="Hauptsaison",IF(C58="Wochenende",'00_Eingabe'!$C$25,'00_Eingabe'!$B$25),IF(B58="Weihnachten",IF(C58="Wochenende",'00_Eingabe'!$C$26,'00_Eingabe'!$B$26),IF(C58="Wochenende",'00_Eingabe'!$C$27,'00_Eingabe'!$B$27))))))</x:f>
        <x:v>0.7</x:v>
      </x:c>
      <x:c r="E58" s="122" t="n">
        <x:f>IF(OR(A58="",D58=""),"",ROUND('00_Eingabe'!$B$8*D58,0))</x:f>
        <x:v>25</x:v>
      </x:c>
      <x:c r="F58" s="122" t="n">
        <x:f>IF(E58="","",ROUND(E58*'00_Eingabe'!$B$18,0))</x:f>
        <x:v>48</x:v>
      </x:c>
      <x:c r="G58" s="123" t="n">
        <x:f>IF(A58="","",IF(O58&lt;&gt;"",O58,IF(B58="Nebensaison",IF(C58="Wochenende",'00_Eingabe'!$E$24,'00_Eingabe'!$D$24),IF(B58="Hauptsaison",IF(C58="Wochenende",'00_Eingabe'!$E$25,'00_Eingabe'!$D$25),IF(B58="Weihnachten",IF(C58="Wochenende",'00_Eingabe'!$E$26,'00_Eingabe'!$D$26),IF(C58="Wochenende",'00_Eingabe'!$E$27,'00_Eingabe'!$D$27))))))</x:f>
        <x:v>0.7</x:v>
      </x:c>
      <x:c r="H58" s="122" t="n">
        <x:f>IF(OR(A58="",G58=""),"",ROUND('00_Eingabe'!$B$9*G58,0))</x:f>
        <x:v>3</x:v>
      </x:c>
      <x:c r="I58" s="122" t="n">
        <x:f>IF(H58="","",ROUND(H58*'00_Eingabe'!$B$19,0))</x:f>
        <x:v>7</x:v>
      </x:c>
      <x:c r="J58" s="122" t="n">
        <x:f>IF(OR(F58="",I58=""),"",F58+I58)</x:f>
        <x:v>55</x:v>
      </x:c>
      <x:c r="K58" s="122" t="n">
        <x:f>IF(J58="","",ROUND(J58*'00_Eingabe'!$B$16*(1+'00_Eingabe'!$B$14),0))</x:f>
        <x:v>63</x:v>
      </x:c>
      <x:c r="L58" s="122" t="n">
        <x:f>IF(B58="Betriebsferien",0,ROUND(J58*'00_Eingabe'!$B$40,0)+IF(C58="Wochenende",'00_Eingabe'!$B$42,'00_Eingabe'!$B$41))</x:f>
        <x:v>55</x:v>
      </x:c>
      <x:c r="M58" s="123" t="n">
        <x:f>IF(J58="","",ROUND(J58*'00_Eingabe'!$B$17*(1+'00_Eingabe'!$B$15),0))</x:f>
        <x:v>63</x:v>
      </x:c>
      <x:c r="N58" s="106"/>
      <x:c r="O58" s="106"/>
      <x:c r="P58" s="116"/>
      <x:c r="Q58" s="213" t="n">
        <x:f>IF(C58="Wochenende",1,0)</x:f>
        <x:v>0</x:v>
      </x:c>
      <x:c r="R58" s="213" t="n">
        <x:f>IF(AND(B58&lt;&gt;"Betriebsferien",OR(WEEKDAY(A58,2)=2,WEEKDAY(A58,2)=4)),1,0)</x:f>
        <x:v>0</x:v>
      </x:c>
      <x:c r="S58" s="214" t="n">
        <x:f>R58*MIN(1,'00_Eingabe'!$B$62/'00_Eingabe'!$B$61)</x:f>
        <x:v>0</x:v>
      </x:c>
      <x:c r="T58" s="213" t="n">
        <x:f>IF(B58="Betriebsferien",0,IF(B58="Nebensaison",IF(OR(WEEKDAY(A58,2)=1,WEEKDAY(A58,2)=3,WEEKDAY(A58,2)=5),1,0),IF(C58="Unterwoche",1,0)))</x:f>
        <x:v>1</x:v>
      </x:c>
      <x:c r="U58" s="213" t="n">
        <x:f>IF(B58="Betriebsferien",0,'00_Eingabe'!$G$24)</x:f>
        <x:v>8</x:v>
      </x:c>
    </x:row>
    <x:row r="59">
      <x:c r="A59" s="121" t="n">
        <x:f>IF(ROW()-4&lt;DATE('00_Eingabe'!$B$7+1,1,1)-DATE('00_Eingabe'!$B$7,1,1),DATE('00_Eingabe'!$B$7,1,1)+ROW()-4,"")</x:f>
        <x:v>45713</x:v>
      </x:c>
      <x:c r="B59" s="122" t="str">
        <x:f>IF(A59="","",IF(OR(AND(MONTH(A59)=12,DAY(A59)&gt;=20),AND(MONTH(A59)=1,DAY(A59)&lt;=2)),"Weihnachten",IF(OR(AND(MONTH(A59)=11,DAY(A59)&gt;=24),AND(MONTH(A59)=12,DAY(A59)&lt;=7)),"Betriebsferien",IF(OR(AND(MONTH(A59)=1,DAY(A59)&gt;=3),MONTH(A59)=2,MONTH(A59)=3,MONTH(A59)=4,MONTH(A59)=10,MONTH(A59)=11,AND(MONTH(A59)=12,DAY(A59)&lt;=15)),"Nebensaison","Hauptsaison"))))</x:f>
        <x:v>Nebensaison</x:v>
      </x:c>
      <x:c r="C59" s="122" t="str">
        <x:f>IF(A59="","",IF(WEEKDAY(A59,2)&gt;=6,"Wochenende","Unterwoche"))</x:f>
        <x:v>Unterwoche</x:v>
      </x:c>
      <x:c r="D59" s="123" t="n">
        <x:f>IF(A59="","",IF(N59&lt;&gt;"",N59,IF(B59="Nebensaison",IF(C59="Wochenende",'00_Eingabe'!$C$24,'00_Eingabe'!$B$24),IF(B59="Hauptsaison",IF(C59="Wochenende",'00_Eingabe'!$C$25,'00_Eingabe'!$B$25),IF(B59="Weihnachten",IF(C59="Wochenende",'00_Eingabe'!$C$26,'00_Eingabe'!$B$26),IF(C59="Wochenende",'00_Eingabe'!$C$27,'00_Eingabe'!$B$27))))))</x:f>
        <x:v>0.7</x:v>
      </x:c>
      <x:c r="E59" s="122" t="n">
        <x:f>IF(OR(A59="",D59=""),"",ROUND('00_Eingabe'!$B$8*D59,0))</x:f>
        <x:v>25</x:v>
      </x:c>
      <x:c r="F59" s="122" t="n">
        <x:f>IF(E59="","",ROUND(E59*'00_Eingabe'!$B$18,0))</x:f>
        <x:v>48</x:v>
      </x:c>
      <x:c r="G59" s="123" t="n">
        <x:f>IF(A59="","",IF(O59&lt;&gt;"",O59,IF(B59="Nebensaison",IF(C59="Wochenende",'00_Eingabe'!$E$24,'00_Eingabe'!$D$24),IF(B59="Hauptsaison",IF(C59="Wochenende",'00_Eingabe'!$E$25,'00_Eingabe'!$D$25),IF(B59="Weihnachten",IF(C59="Wochenende",'00_Eingabe'!$E$26,'00_Eingabe'!$D$26),IF(C59="Wochenende",'00_Eingabe'!$E$27,'00_Eingabe'!$D$27))))))</x:f>
        <x:v>0.7</x:v>
      </x:c>
      <x:c r="H59" s="122" t="n">
        <x:f>IF(OR(A59="",G59=""),"",ROUND('00_Eingabe'!$B$9*G59,0))</x:f>
        <x:v>3</x:v>
      </x:c>
      <x:c r="I59" s="122" t="n">
        <x:f>IF(H59="","",ROUND(H59*'00_Eingabe'!$B$19,0))</x:f>
        <x:v>7</x:v>
      </x:c>
      <x:c r="J59" s="122" t="n">
        <x:f>IF(OR(F59="",I59=""),"",F59+I59)</x:f>
        <x:v>55</x:v>
      </x:c>
      <x:c r="K59" s="122" t="n">
        <x:f>IF(J59="","",ROUND(J59*'00_Eingabe'!$B$16*(1+'00_Eingabe'!$B$14),0))</x:f>
        <x:v>63</x:v>
      </x:c>
      <x:c r="L59" s="122" t="n">
        <x:f>IF(B59="Betriebsferien",0,ROUND(J59*'00_Eingabe'!$B$40,0)+IF(C59="Wochenende",'00_Eingabe'!$B$42,'00_Eingabe'!$B$41))</x:f>
        <x:v>55</x:v>
      </x:c>
      <x:c r="M59" s="123" t="n">
        <x:f>IF(J59="","",ROUND(J59*'00_Eingabe'!$B$17*(1+'00_Eingabe'!$B$15),0))</x:f>
        <x:v>63</x:v>
      </x:c>
      <x:c r="N59" s="106"/>
      <x:c r="O59" s="106"/>
      <x:c r="P59" s="116"/>
      <x:c r="Q59" s="213" t="n">
        <x:f>IF(C59="Wochenende",1,0)</x:f>
        <x:v>0</x:v>
      </x:c>
      <x:c r="R59" s="213" t="n">
        <x:f>IF(AND(B59&lt;&gt;"Betriebsferien",OR(WEEKDAY(A59,2)=2,WEEKDAY(A59,2)=4)),1,0)</x:f>
        <x:v>1</x:v>
      </x:c>
      <x:c r="S59" s="214" t="n">
        <x:f>R59*MIN(1,'00_Eingabe'!$B$62/'00_Eingabe'!$B$61)</x:f>
        <x:v>0.5</x:v>
      </x:c>
      <x:c r="T59" s="213" t="n">
        <x:f>IF(B59="Betriebsferien",0,IF(B59="Nebensaison",IF(OR(WEEKDAY(A59,2)=1,WEEKDAY(A59,2)=3,WEEKDAY(A59,2)=5),1,0),IF(C59="Unterwoche",1,0)))</x:f>
        <x:v>0</x:v>
      </x:c>
      <x:c r="U59" s="213" t="n">
        <x:f>IF(B59="Betriebsferien",0,'00_Eingabe'!$G$24)</x:f>
        <x:v>8</x:v>
      </x:c>
    </x:row>
    <x:row r="60">
      <x:c r="A60" s="121" t="n">
        <x:f>IF(ROW()-4&lt;DATE('00_Eingabe'!$B$7+1,1,1)-DATE('00_Eingabe'!$B$7,1,1),DATE('00_Eingabe'!$B$7,1,1)+ROW()-4,"")</x:f>
        <x:v>45714</x:v>
      </x:c>
      <x:c r="B60" s="122" t="str">
        <x:f>IF(A60="","",IF(OR(AND(MONTH(A60)=12,DAY(A60)&gt;=20),AND(MONTH(A60)=1,DAY(A60)&lt;=2)),"Weihnachten",IF(OR(AND(MONTH(A60)=11,DAY(A60)&gt;=24),AND(MONTH(A60)=12,DAY(A60)&lt;=7)),"Betriebsferien",IF(OR(AND(MONTH(A60)=1,DAY(A60)&gt;=3),MONTH(A60)=2,MONTH(A60)=3,MONTH(A60)=4,MONTH(A60)=10,MONTH(A60)=11,AND(MONTH(A60)=12,DAY(A60)&lt;=15)),"Nebensaison","Hauptsaison"))))</x:f>
        <x:v>Nebensaison</x:v>
      </x:c>
      <x:c r="C60" s="122" t="str">
        <x:f>IF(A60="","",IF(WEEKDAY(A60,2)&gt;=6,"Wochenende","Unterwoche"))</x:f>
        <x:v>Unterwoche</x:v>
      </x:c>
      <x:c r="D60" s="123" t="n">
        <x:f>IF(A60="","",IF(N60&lt;&gt;"",N60,IF(B60="Nebensaison",IF(C60="Wochenende",'00_Eingabe'!$C$24,'00_Eingabe'!$B$24),IF(B60="Hauptsaison",IF(C60="Wochenende",'00_Eingabe'!$C$25,'00_Eingabe'!$B$25),IF(B60="Weihnachten",IF(C60="Wochenende",'00_Eingabe'!$C$26,'00_Eingabe'!$B$26),IF(C60="Wochenende",'00_Eingabe'!$C$27,'00_Eingabe'!$B$27))))))</x:f>
        <x:v>0.7</x:v>
      </x:c>
      <x:c r="E60" s="122" t="n">
        <x:f>IF(OR(A60="",D60=""),"",ROUND('00_Eingabe'!$B$8*D60,0))</x:f>
        <x:v>25</x:v>
      </x:c>
      <x:c r="F60" s="122" t="n">
        <x:f>IF(E60="","",ROUND(E60*'00_Eingabe'!$B$18,0))</x:f>
        <x:v>48</x:v>
      </x:c>
      <x:c r="G60" s="123" t="n">
        <x:f>IF(A60="","",IF(O60&lt;&gt;"",O60,IF(B60="Nebensaison",IF(C60="Wochenende",'00_Eingabe'!$E$24,'00_Eingabe'!$D$24),IF(B60="Hauptsaison",IF(C60="Wochenende",'00_Eingabe'!$E$25,'00_Eingabe'!$D$25),IF(B60="Weihnachten",IF(C60="Wochenende",'00_Eingabe'!$E$26,'00_Eingabe'!$D$26),IF(C60="Wochenende",'00_Eingabe'!$E$27,'00_Eingabe'!$D$27))))))</x:f>
        <x:v>0.7</x:v>
      </x:c>
      <x:c r="H60" s="122" t="n">
        <x:f>IF(OR(A60="",G60=""),"",ROUND('00_Eingabe'!$B$9*G60,0))</x:f>
        <x:v>3</x:v>
      </x:c>
      <x:c r="I60" s="122" t="n">
        <x:f>IF(H60="","",ROUND(H60*'00_Eingabe'!$B$19,0))</x:f>
        <x:v>7</x:v>
      </x:c>
      <x:c r="J60" s="122" t="n">
        <x:f>IF(OR(F60="",I60=""),"",F60+I60)</x:f>
        <x:v>55</x:v>
      </x:c>
      <x:c r="K60" s="122" t="n">
        <x:f>IF(J60="","",ROUND(J60*'00_Eingabe'!$B$16*(1+'00_Eingabe'!$B$14),0))</x:f>
        <x:v>63</x:v>
      </x:c>
      <x:c r="L60" s="122" t="n">
        <x:f>IF(B60="Betriebsferien",0,ROUND(J60*'00_Eingabe'!$B$40,0)+IF(C60="Wochenende",'00_Eingabe'!$B$42,'00_Eingabe'!$B$41))</x:f>
        <x:v>55</x:v>
      </x:c>
      <x:c r="M60" s="123" t="n">
        <x:f>IF(J60="","",ROUND(J60*'00_Eingabe'!$B$17*(1+'00_Eingabe'!$B$15),0))</x:f>
        <x:v>63</x:v>
      </x:c>
      <x:c r="N60" s="106"/>
      <x:c r="O60" s="106"/>
      <x:c r="P60" s="116"/>
      <x:c r="Q60" s="213" t="n">
        <x:f>IF(C60="Wochenende",1,0)</x:f>
        <x:v>0</x:v>
      </x:c>
      <x:c r="R60" s="213" t="n">
        <x:f>IF(AND(B60&lt;&gt;"Betriebsferien",OR(WEEKDAY(A60,2)=2,WEEKDAY(A60,2)=4)),1,0)</x:f>
        <x:v>0</x:v>
      </x:c>
      <x:c r="S60" s="214" t="n">
        <x:f>R60*MIN(1,'00_Eingabe'!$B$62/'00_Eingabe'!$B$61)</x:f>
        <x:v>0</x:v>
      </x:c>
      <x:c r="T60" s="213" t="n">
        <x:f>IF(B60="Betriebsferien",0,IF(B60="Nebensaison",IF(OR(WEEKDAY(A60,2)=1,WEEKDAY(A60,2)=3,WEEKDAY(A60,2)=5),1,0),IF(C60="Unterwoche",1,0)))</x:f>
        <x:v>1</x:v>
      </x:c>
      <x:c r="U60" s="213" t="n">
        <x:f>IF(B60="Betriebsferien",0,'00_Eingabe'!$G$24)</x:f>
        <x:v>8</x:v>
      </x:c>
    </x:row>
    <x:row r="61">
      <x:c r="A61" s="121" t="n">
        <x:f>IF(ROW()-4&lt;DATE('00_Eingabe'!$B$7+1,1,1)-DATE('00_Eingabe'!$B$7,1,1),DATE('00_Eingabe'!$B$7,1,1)+ROW()-4,"")</x:f>
        <x:v>45715</x:v>
      </x:c>
      <x:c r="B61" s="122" t="str">
        <x:f>IF(A61="","",IF(OR(AND(MONTH(A61)=12,DAY(A61)&gt;=20),AND(MONTH(A61)=1,DAY(A61)&lt;=2)),"Weihnachten",IF(OR(AND(MONTH(A61)=11,DAY(A61)&gt;=24),AND(MONTH(A61)=12,DAY(A61)&lt;=7)),"Betriebsferien",IF(OR(AND(MONTH(A61)=1,DAY(A61)&gt;=3),MONTH(A61)=2,MONTH(A61)=3,MONTH(A61)=4,MONTH(A61)=10,MONTH(A61)=11,AND(MONTH(A61)=12,DAY(A61)&lt;=15)),"Nebensaison","Hauptsaison"))))</x:f>
        <x:v>Nebensaison</x:v>
      </x:c>
      <x:c r="C61" s="122" t="str">
        <x:f>IF(A61="","",IF(WEEKDAY(A61,2)&gt;=6,"Wochenende","Unterwoche"))</x:f>
        <x:v>Unterwoche</x:v>
      </x:c>
      <x:c r="D61" s="123" t="n">
        <x:f>IF(A61="","",IF(N61&lt;&gt;"",N61,IF(B61="Nebensaison",IF(C61="Wochenende",'00_Eingabe'!$C$24,'00_Eingabe'!$B$24),IF(B61="Hauptsaison",IF(C61="Wochenende",'00_Eingabe'!$C$25,'00_Eingabe'!$B$25),IF(B61="Weihnachten",IF(C61="Wochenende",'00_Eingabe'!$C$26,'00_Eingabe'!$B$26),IF(C61="Wochenende",'00_Eingabe'!$C$27,'00_Eingabe'!$B$27))))))</x:f>
        <x:v>0.7</x:v>
      </x:c>
      <x:c r="E61" s="122" t="n">
        <x:f>IF(OR(A61="",D61=""),"",ROUND('00_Eingabe'!$B$8*D61,0))</x:f>
        <x:v>25</x:v>
      </x:c>
      <x:c r="F61" s="122" t="n">
        <x:f>IF(E61="","",ROUND(E61*'00_Eingabe'!$B$18,0))</x:f>
        <x:v>48</x:v>
      </x:c>
      <x:c r="G61" s="123" t="n">
        <x:f>IF(A61="","",IF(O61&lt;&gt;"",O61,IF(B61="Nebensaison",IF(C61="Wochenende",'00_Eingabe'!$E$24,'00_Eingabe'!$D$24),IF(B61="Hauptsaison",IF(C61="Wochenende",'00_Eingabe'!$E$25,'00_Eingabe'!$D$25),IF(B61="Weihnachten",IF(C61="Wochenende",'00_Eingabe'!$E$26,'00_Eingabe'!$D$26),IF(C61="Wochenende",'00_Eingabe'!$E$27,'00_Eingabe'!$D$27))))))</x:f>
        <x:v>0.7</x:v>
      </x:c>
      <x:c r="H61" s="122" t="n">
        <x:f>IF(OR(A61="",G61=""),"",ROUND('00_Eingabe'!$B$9*G61,0))</x:f>
        <x:v>3</x:v>
      </x:c>
      <x:c r="I61" s="122" t="n">
        <x:f>IF(H61="","",ROUND(H61*'00_Eingabe'!$B$19,0))</x:f>
        <x:v>7</x:v>
      </x:c>
      <x:c r="J61" s="122" t="n">
        <x:f>IF(OR(F61="",I61=""),"",F61+I61)</x:f>
        <x:v>55</x:v>
      </x:c>
      <x:c r="K61" s="122" t="n">
        <x:f>IF(J61="","",ROUND(J61*'00_Eingabe'!$B$16*(1+'00_Eingabe'!$B$14),0))</x:f>
        <x:v>63</x:v>
      </x:c>
      <x:c r="L61" s="122" t="n">
        <x:f>IF(B61="Betriebsferien",0,ROUND(J61*'00_Eingabe'!$B$40,0)+IF(C61="Wochenende",'00_Eingabe'!$B$42,'00_Eingabe'!$B$41))</x:f>
        <x:v>55</x:v>
      </x:c>
      <x:c r="M61" s="123" t="n">
        <x:f>IF(J61="","",ROUND(J61*'00_Eingabe'!$B$17*(1+'00_Eingabe'!$B$15),0))</x:f>
        <x:v>63</x:v>
      </x:c>
      <x:c r="N61" s="106"/>
      <x:c r="O61" s="106"/>
      <x:c r="P61" s="116"/>
      <x:c r="Q61" s="213" t="n">
        <x:f>IF(C61="Wochenende",1,0)</x:f>
        <x:v>0</x:v>
      </x:c>
      <x:c r="R61" s="213" t="n">
        <x:f>IF(AND(B61&lt;&gt;"Betriebsferien",OR(WEEKDAY(A61,2)=2,WEEKDAY(A61,2)=4)),1,0)</x:f>
        <x:v>1</x:v>
      </x:c>
      <x:c r="S61" s="214" t="n">
        <x:f>R61*MIN(1,'00_Eingabe'!$B$62/'00_Eingabe'!$B$61)</x:f>
        <x:v>0.5</x:v>
      </x:c>
      <x:c r="T61" s="213" t="n">
        <x:f>IF(B61="Betriebsferien",0,IF(B61="Nebensaison",IF(OR(WEEKDAY(A61,2)=1,WEEKDAY(A61,2)=3,WEEKDAY(A61,2)=5),1,0),IF(C61="Unterwoche",1,0)))</x:f>
        <x:v>0</x:v>
      </x:c>
      <x:c r="U61" s="213" t="n">
        <x:f>IF(B61="Betriebsferien",0,'00_Eingabe'!$G$24)</x:f>
        <x:v>8</x:v>
      </x:c>
    </x:row>
    <x:row r="62">
      <x:c r="A62" s="121" t="n">
        <x:f>IF(ROW()-4&lt;DATE('00_Eingabe'!$B$7+1,1,1)-DATE('00_Eingabe'!$B$7,1,1),DATE('00_Eingabe'!$B$7,1,1)+ROW()-4,"")</x:f>
        <x:v>45716</x:v>
      </x:c>
      <x:c r="B62" s="122" t="str">
        <x:f>IF(A62="","",IF(OR(AND(MONTH(A62)=12,DAY(A62)&gt;=20),AND(MONTH(A62)=1,DAY(A62)&lt;=2)),"Weihnachten",IF(OR(AND(MONTH(A62)=11,DAY(A62)&gt;=24),AND(MONTH(A62)=12,DAY(A62)&lt;=7)),"Betriebsferien",IF(OR(AND(MONTH(A62)=1,DAY(A62)&gt;=3),MONTH(A62)=2,MONTH(A62)=3,MONTH(A62)=4,MONTH(A62)=10,MONTH(A62)=11,AND(MONTH(A62)=12,DAY(A62)&lt;=15)),"Nebensaison","Hauptsaison"))))</x:f>
        <x:v>Nebensaison</x:v>
      </x:c>
      <x:c r="C62" s="122" t="str">
        <x:f>IF(A62="","",IF(WEEKDAY(A62,2)&gt;=6,"Wochenende","Unterwoche"))</x:f>
        <x:v>Unterwoche</x:v>
      </x:c>
      <x:c r="D62" s="123" t="n">
        <x:f>IF(A62="","",IF(N62&lt;&gt;"",N62,IF(B62="Nebensaison",IF(C62="Wochenende",'00_Eingabe'!$C$24,'00_Eingabe'!$B$24),IF(B62="Hauptsaison",IF(C62="Wochenende",'00_Eingabe'!$C$25,'00_Eingabe'!$B$25),IF(B62="Weihnachten",IF(C62="Wochenende",'00_Eingabe'!$C$26,'00_Eingabe'!$B$26),IF(C62="Wochenende",'00_Eingabe'!$C$27,'00_Eingabe'!$B$27))))))</x:f>
        <x:v>0.7</x:v>
      </x:c>
      <x:c r="E62" s="122" t="n">
        <x:f>IF(OR(A62="",D62=""),"",ROUND('00_Eingabe'!$B$8*D62,0))</x:f>
        <x:v>25</x:v>
      </x:c>
      <x:c r="F62" s="122" t="n">
        <x:f>IF(E62="","",ROUND(E62*'00_Eingabe'!$B$18,0))</x:f>
        <x:v>48</x:v>
      </x:c>
      <x:c r="G62" s="123" t="n">
        <x:f>IF(A62="","",IF(O62&lt;&gt;"",O62,IF(B62="Nebensaison",IF(C62="Wochenende",'00_Eingabe'!$E$24,'00_Eingabe'!$D$24),IF(B62="Hauptsaison",IF(C62="Wochenende",'00_Eingabe'!$E$25,'00_Eingabe'!$D$25),IF(B62="Weihnachten",IF(C62="Wochenende",'00_Eingabe'!$E$26,'00_Eingabe'!$D$26),IF(C62="Wochenende",'00_Eingabe'!$E$27,'00_Eingabe'!$D$27))))))</x:f>
        <x:v>0.7</x:v>
      </x:c>
      <x:c r="H62" s="122" t="n">
        <x:f>IF(OR(A62="",G62=""),"",ROUND('00_Eingabe'!$B$9*G62,0))</x:f>
        <x:v>3</x:v>
      </x:c>
      <x:c r="I62" s="122" t="n">
        <x:f>IF(H62="","",ROUND(H62*'00_Eingabe'!$B$19,0))</x:f>
        <x:v>7</x:v>
      </x:c>
      <x:c r="J62" s="122" t="n">
        <x:f>IF(OR(F62="",I62=""),"",F62+I62)</x:f>
        <x:v>55</x:v>
      </x:c>
      <x:c r="K62" s="122" t="n">
        <x:f>IF(J62="","",ROUND(J62*'00_Eingabe'!$B$16*(1+'00_Eingabe'!$B$14),0))</x:f>
        <x:v>63</x:v>
      </x:c>
      <x:c r="L62" s="122" t="n">
        <x:f>IF(B62="Betriebsferien",0,ROUND(J62*'00_Eingabe'!$B$40,0)+IF(C62="Wochenende",'00_Eingabe'!$B$42,'00_Eingabe'!$B$41))</x:f>
        <x:v>55</x:v>
      </x:c>
      <x:c r="M62" s="123" t="n">
        <x:f>IF(J62="","",ROUND(J62*'00_Eingabe'!$B$17*(1+'00_Eingabe'!$B$15),0))</x:f>
        <x:v>63</x:v>
      </x:c>
      <x:c r="N62" s="106"/>
      <x:c r="O62" s="106"/>
      <x:c r="P62" s="116"/>
      <x:c r="Q62" s="213" t="n">
        <x:f>IF(C62="Wochenende",1,0)</x:f>
        <x:v>0</x:v>
      </x:c>
      <x:c r="R62" s="213" t="n">
        <x:f>IF(AND(B62&lt;&gt;"Betriebsferien",OR(WEEKDAY(A62,2)=2,WEEKDAY(A62,2)=4)),1,0)</x:f>
        <x:v>0</x:v>
      </x:c>
      <x:c r="S62" s="214" t="n">
        <x:f>R62*MIN(1,'00_Eingabe'!$B$62/'00_Eingabe'!$B$61)</x:f>
        <x:v>0</x:v>
      </x:c>
      <x:c r="T62" s="213" t="n">
        <x:f>IF(B62="Betriebsferien",0,IF(B62="Nebensaison",IF(OR(WEEKDAY(A62,2)=1,WEEKDAY(A62,2)=3,WEEKDAY(A62,2)=5),1,0),IF(C62="Unterwoche",1,0)))</x:f>
        <x:v>1</x:v>
      </x:c>
      <x:c r="U62" s="213" t="n">
        <x:f>IF(B62="Betriebsferien",0,'00_Eingabe'!$G$24)</x:f>
        <x:v>8</x:v>
      </x:c>
    </x:row>
    <x:row r="63">
      <x:c r="A63" s="121" t="n">
        <x:f>IF(ROW()-4&lt;DATE('00_Eingabe'!$B$7+1,1,1)-DATE('00_Eingabe'!$B$7,1,1),DATE('00_Eingabe'!$B$7,1,1)+ROW()-4,"")</x:f>
        <x:v>45717</x:v>
      </x:c>
      <x:c r="B63" s="122" t="str">
        <x:f>IF(A63="","",IF(OR(AND(MONTH(A63)=12,DAY(A63)&gt;=20),AND(MONTH(A63)=1,DAY(A63)&lt;=2)),"Weihnachten",IF(OR(AND(MONTH(A63)=11,DAY(A63)&gt;=24),AND(MONTH(A63)=12,DAY(A63)&lt;=7)),"Betriebsferien",IF(OR(AND(MONTH(A63)=1,DAY(A63)&gt;=3),MONTH(A63)=2,MONTH(A63)=3,MONTH(A63)=4,MONTH(A63)=10,MONTH(A63)=11,AND(MONTH(A63)=12,DAY(A63)&lt;=15)),"Nebensaison","Hauptsaison"))))</x:f>
        <x:v>Nebensaison</x:v>
      </x:c>
      <x:c r="C63" s="122" t="str">
        <x:f>IF(A63="","",IF(WEEKDAY(A63,2)&gt;=6,"Wochenende","Unterwoche"))</x:f>
        <x:v>Wochenende</x:v>
      </x:c>
      <x:c r="D63" s="123" t="n">
        <x:f>IF(A63="","",IF(N63&lt;&gt;"",N63,IF(B63="Nebensaison",IF(C63="Wochenende",'00_Eingabe'!$C$24,'00_Eingabe'!$B$24),IF(B63="Hauptsaison",IF(C63="Wochenende",'00_Eingabe'!$C$25,'00_Eingabe'!$B$25),IF(B63="Weihnachten",IF(C63="Wochenende",'00_Eingabe'!$C$26,'00_Eingabe'!$B$26),IF(C63="Wochenende",'00_Eingabe'!$C$27,'00_Eingabe'!$B$27))))))</x:f>
        <x:v>0.75</x:v>
      </x:c>
      <x:c r="E63" s="122" t="n">
        <x:f>IF(OR(A63="",D63=""),"",ROUND('00_Eingabe'!$B$8*D63,0))</x:f>
        <x:v>26</x:v>
      </x:c>
      <x:c r="F63" s="122" t="n">
        <x:f>IF(E63="","",ROUND(E63*'00_Eingabe'!$B$18,0))</x:f>
        <x:v>49</x:v>
      </x:c>
      <x:c r="G63" s="123" t="n">
        <x:f>IF(A63="","",IF(O63&lt;&gt;"",O63,IF(B63="Nebensaison",IF(C63="Wochenende",'00_Eingabe'!$E$24,'00_Eingabe'!$D$24),IF(B63="Hauptsaison",IF(C63="Wochenende",'00_Eingabe'!$E$25,'00_Eingabe'!$D$25),IF(B63="Weihnachten",IF(C63="Wochenende",'00_Eingabe'!$E$26,'00_Eingabe'!$D$26),IF(C63="Wochenende",'00_Eingabe'!$E$27,'00_Eingabe'!$D$27))))))</x:f>
        <x:v>0.75</x:v>
      </x:c>
      <x:c r="H63" s="122" t="n">
        <x:f>IF(OR(A63="",G63=""),"",ROUND('00_Eingabe'!$B$9*G63,0))</x:f>
        <x:v>3</x:v>
      </x:c>
      <x:c r="I63" s="122" t="n">
        <x:f>IF(H63="","",ROUND(H63*'00_Eingabe'!$B$19,0))</x:f>
        <x:v>7</x:v>
      </x:c>
      <x:c r="J63" s="122" t="n">
        <x:f>IF(OR(F63="",I63=""),"",F63+I63)</x:f>
        <x:v>56</x:v>
      </x:c>
      <x:c r="K63" s="122" t="n">
        <x:f>IF(J63="","",ROUND(J63*'00_Eingabe'!$B$16*(1+'00_Eingabe'!$B$14),0))</x:f>
        <x:v>64</x:v>
      </x:c>
      <x:c r="L63" s="122" t="n">
        <x:f>IF(B63="Betriebsferien",0,ROUND(J63*'00_Eingabe'!$B$40,0)+IF(C63="Wochenende",'00_Eingabe'!$B$42,'00_Eingabe'!$B$41))</x:f>
        <x:v>80</x:v>
      </x:c>
      <x:c r="M63" s="123" t="n">
        <x:f>IF(J63="","",ROUND(J63*'00_Eingabe'!$B$17*(1+'00_Eingabe'!$B$15),0))</x:f>
        <x:v>64</x:v>
      </x:c>
      <x:c r="N63" s="106"/>
      <x:c r="O63" s="106"/>
      <x:c r="P63" s="116"/>
      <x:c r="Q63" s="213" t="n">
        <x:f>IF(C63="Wochenende",1,0)</x:f>
        <x:v>1</x:v>
      </x:c>
      <x:c r="R63" s="213" t="n">
        <x:f>IF(AND(B63&lt;&gt;"Betriebsferien",OR(WEEKDAY(A63,2)=2,WEEKDAY(A63,2)=4)),1,0)</x:f>
        <x:v>0</x:v>
      </x:c>
      <x:c r="S63" s="214" t="n">
        <x:f>R63*MIN(1,'00_Eingabe'!$B$62/'00_Eingabe'!$B$61)</x:f>
        <x:v>0</x:v>
      </x:c>
      <x:c r="T63" s="213" t="n">
        <x:f>IF(B63="Betriebsferien",0,IF(B63="Nebensaison",IF(OR(WEEKDAY(A63,2)=1,WEEKDAY(A63,2)=3,WEEKDAY(A63,2)=5),1,0),IF(C63="Unterwoche",1,0)))</x:f>
        <x:v>0</x:v>
      </x:c>
      <x:c r="U63" s="213" t="n">
        <x:f>IF(B63="Betriebsferien",0,'00_Eingabe'!$G$24)</x:f>
        <x:v>8</x:v>
      </x:c>
    </x:row>
    <x:row r="64">
      <x:c r="A64" s="121" t="n">
        <x:f>IF(ROW()-4&lt;DATE('00_Eingabe'!$B$7+1,1,1)-DATE('00_Eingabe'!$B$7,1,1),DATE('00_Eingabe'!$B$7,1,1)+ROW()-4,"")</x:f>
        <x:v>45718</x:v>
      </x:c>
      <x:c r="B64" s="122" t="str">
        <x:f>IF(A64="","",IF(OR(AND(MONTH(A64)=12,DAY(A64)&gt;=20),AND(MONTH(A64)=1,DAY(A64)&lt;=2)),"Weihnachten",IF(OR(AND(MONTH(A64)=11,DAY(A64)&gt;=24),AND(MONTH(A64)=12,DAY(A64)&lt;=7)),"Betriebsferien",IF(OR(AND(MONTH(A64)=1,DAY(A64)&gt;=3),MONTH(A64)=2,MONTH(A64)=3,MONTH(A64)=4,MONTH(A64)=10,MONTH(A64)=11,AND(MONTH(A64)=12,DAY(A64)&lt;=15)),"Nebensaison","Hauptsaison"))))</x:f>
        <x:v>Nebensaison</x:v>
      </x:c>
      <x:c r="C64" s="122" t="str">
        <x:f>IF(A64="","",IF(WEEKDAY(A64,2)&gt;=6,"Wochenende","Unterwoche"))</x:f>
        <x:v>Wochenende</x:v>
      </x:c>
      <x:c r="D64" s="123" t="n">
        <x:f>IF(A64="","",IF(N64&lt;&gt;"",N64,IF(B64="Nebensaison",IF(C64="Wochenende",'00_Eingabe'!$C$24,'00_Eingabe'!$B$24),IF(B64="Hauptsaison",IF(C64="Wochenende",'00_Eingabe'!$C$25,'00_Eingabe'!$B$25),IF(B64="Weihnachten",IF(C64="Wochenende",'00_Eingabe'!$C$26,'00_Eingabe'!$B$26),IF(C64="Wochenende",'00_Eingabe'!$C$27,'00_Eingabe'!$B$27))))))</x:f>
        <x:v>0.75</x:v>
      </x:c>
      <x:c r="E64" s="122" t="n">
        <x:f>IF(OR(A64="",D64=""),"",ROUND('00_Eingabe'!$B$8*D64,0))</x:f>
        <x:v>26</x:v>
      </x:c>
      <x:c r="F64" s="122" t="n">
        <x:f>IF(E64="","",ROUND(E64*'00_Eingabe'!$B$18,0))</x:f>
        <x:v>49</x:v>
      </x:c>
      <x:c r="G64" s="123" t="n">
        <x:f>IF(A64="","",IF(O64&lt;&gt;"",O64,IF(B64="Nebensaison",IF(C64="Wochenende",'00_Eingabe'!$E$24,'00_Eingabe'!$D$24),IF(B64="Hauptsaison",IF(C64="Wochenende",'00_Eingabe'!$E$25,'00_Eingabe'!$D$25),IF(B64="Weihnachten",IF(C64="Wochenende",'00_Eingabe'!$E$26,'00_Eingabe'!$D$26),IF(C64="Wochenende",'00_Eingabe'!$E$27,'00_Eingabe'!$D$27))))))</x:f>
        <x:v>0.75</x:v>
      </x:c>
      <x:c r="H64" s="122" t="n">
        <x:f>IF(OR(A64="",G64=""),"",ROUND('00_Eingabe'!$B$9*G64,0))</x:f>
        <x:v>3</x:v>
      </x:c>
      <x:c r="I64" s="122" t="n">
        <x:f>IF(H64="","",ROUND(H64*'00_Eingabe'!$B$19,0))</x:f>
        <x:v>7</x:v>
      </x:c>
      <x:c r="J64" s="122" t="n">
        <x:f>IF(OR(F64="",I64=""),"",F64+I64)</x:f>
        <x:v>56</x:v>
      </x:c>
      <x:c r="K64" s="122" t="n">
        <x:f>IF(J64="","",ROUND(J64*'00_Eingabe'!$B$16*(1+'00_Eingabe'!$B$14),0))</x:f>
        <x:v>64</x:v>
      </x:c>
      <x:c r="L64" s="122" t="n">
        <x:f>IF(B64="Betriebsferien",0,ROUND(J64*'00_Eingabe'!$B$40,0)+IF(C64="Wochenende",'00_Eingabe'!$B$42,'00_Eingabe'!$B$41))</x:f>
        <x:v>80</x:v>
      </x:c>
      <x:c r="M64" s="123" t="n">
        <x:f>IF(J64="","",ROUND(J64*'00_Eingabe'!$B$17*(1+'00_Eingabe'!$B$15),0))</x:f>
        <x:v>64</x:v>
      </x:c>
      <x:c r="N64" s="106"/>
      <x:c r="O64" s="106"/>
      <x:c r="P64" s="116"/>
      <x:c r="Q64" s="213" t="n">
        <x:f>IF(C64="Wochenende",1,0)</x:f>
        <x:v>1</x:v>
      </x:c>
      <x:c r="R64" s="213" t="n">
        <x:f>IF(AND(B64&lt;&gt;"Betriebsferien",OR(WEEKDAY(A64,2)=2,WEEKDAY(A64,2)=4)),1,0)</x:f>
        <x:v>0</x:v>
      </x:c>
      <x:c r="S64" s="214" t="n">
        <x:f>R64*MIN(1,'00_Eingabe'!$B$62/'00_Eingabe'!$B$61)</x:f>
        <x:v>0</x:v>
      </x:c>
      <x:c r="T64" s="213" t="n">
        <x:f>IF(B64="Betriebsferien",0,IF(B64="Nebensaison",IF(OR(WEEKDAY(A64,2)=1,WEEKDAY(A64,2)=3,WEEKDAY(A64,2)=5),1,0),IF(C64="Unterwoche",1,0)))</x:f>
        <x:v>0</x:v>
      </x:c>
      <x:c r="U64" s="213" t="n">
        <x:f>IF(B64="Betriebsferien",0,'00_Eingabe'!$G$24)</x:f>
        <x:v>8</x:v>
      </x:c>
    </x:row>
    <x:row r="65">
      <x:c r="A65" s="121" t="n">
        <x:f>IF(ROW()-4&lt;DATE('00_Eingabe'!$B$7+1,1,1)-DATE('00_Eingabe'!$B$7,1,1),DATE('00_Eingabe'!$B$7,1,1)+ROW()-4,"")</x:f>
        <x:v>45719</x:v>
      </x:c>
      <x:c r="B65" s="122" t="str">
        <x:f>IF(A65="","",IF(OR(AND(MONTH(A65)=12,DAY(A65)&gt;=20),AND(MONTH(A65)=1,DAY(A65)&lt;=2)),"Weihnachten",IF(OR(AND(MONTH(A65)=11,DAY(A65)&gt;=24),AND(MONTH(A65)=12,DAY(A65)&lt;=7)),"Betriebsferien",IF(OR(AND(MONTH(A65)=1,DAY(A65)&gt;=3),MONTH(A65)=2,MONTH(A65)=3,MONTH(A65)=4,MONTH(A65)=10,MONTH(A65)=11,AND(MONTH(A65)=12,DAY(A65)&lt;=15)),"Nebensaison","Hauptsaison"))))</x:f>
        <x:v>Nebensaison</x:v>
      </x:c>
      <x:c r="C65" s="122" t="str">
        <x:f>IF(A65="","",IF(WEEKDAY(A65,2)&gt;=6,"Wochenende","Unterwoche"))</x:f>
        <x:v>Unterwoche</x:v>
      </x:c>
      <x:c r="D65" s="123" t="n">
        <x:f>IF(A65="","",IF(N65&lt;&gt;"",N65,IF(B65="Nebensaison",IF(C65="Wochenende",'00_Eingabe'!$C$24,'00_Eingabe'!$B$24),IF(B65="Hauptsaison",IF(C65="Wochenende",'00_Eingabe'!$C$25,'00_Eingabe'!$B$25),IF(B65="Weihnachten",IF(C65="Wochenende",'00_Eingabe'!$C$26,'00_Eingabe'!$B$26),IF(C65="Wochenende",'00_Eingabe'!$C$27,'00_Eingabe'!$B$27))))))</x:f>
        <x:v>0.7</x:v>
      </x:c>
      <x:c r="E65" s="122" t="n">
        <x:f>IF(OR(A65="",D65=""),"",ROUND('00_Eingabe'!$B$8*D65,0))</x:f>
        <x:v>25</x:v>
      </x:c>
      <x:c r="F65" s="122" t="n">
        <x:f>IF(E65="","",ROUND(E65*'00_Eingabe'!$B$18,0))</x:f>
        <x:v>48</x:v>
      </x:c>
      <x:c r="G65" s="123" t="n">
        <x:f>IF(A65="","",IF(O65&lt;&gt;"",O65,IF(B65="Nebensaison",IF(C65="Wochenende",'00_Eingabe'!$E$24,'00_Eingabe'!$D$24),IF(B65="Hauptsaison",IF(C65="Wochenende",'00_Eingabe'!$E$25,'00_Eingabe'!$D$25),IF(B65="Weihnachten",IF(C65="Wochenende",'00_Eingabe'!$E$26,'00_Eingabe'!$D$26),IF(C65="Wochenende",'00_Eingabe'!$E$27,'00_Eingabe'!$D$27))))))</x:f>
        <x:v>0.7</x:v>
      </x:c>
      <x:c r="H65" s="122" t="n">
        <x:f>IF(OR(A65="",G65=""),"",ROUND('00_Eingabe'!$B$9*G65,0))</x:f>
        <x:v>3</x:v>
      </x:c>
      <x:c r="I65" s="122" t="n">
        <x:f>IF(H65="","",ROUND(H65*'00_Eingabe'!$B$19,0))</x:f>
        <x:v>7</x:v>
      </x:c>
      <x:c r="J65" s="122" t="n">
        <x:f>IF(OR(F65="",I65=""),"",F65+I65)</x:f>
        <x:v>55</x:v>
      </x:c>
      <x:c r="K65" s="122" t="n">
        <x:f>IF(J65="","",ROUND(J65*'00_Eingabe'!$B$16*(1+'00_Eingabe'!$B$14),0))</x:f>
        <x:v>63</x:v>
      </x:c>
      <x:c r="L65" s="122" t="n">
        <x:f>IF(B65="Betriebsferien",0,ROUND(J65*'00_Eingabe'!$B$40,0)+IF(C65="Wochenende",'00_Eingabe'!$B$42,'00_Eingabe'!$B$41))</x:f>
        <x:v>55</x:v>
      </x:c>
      <x:c r="M65" s="123" t="n">
        <x:f>IF(J65="","",ROUND(J65*'00_Eingabe'!$B$17*(1+'00_Eingabe'!$B$15),0))</x:f>
        <x:v>63</x:v>
      </x:c>
      <x:c r="N65" s="106"/>
      <x:c r="O65" s="106"/>
      <x:c r="P65" s="116"/>
      <x:c r="Q65" s="213" t="n">
        <x:f>IF(C65="Wochenende",1,0)</x:f>
        <x:v>0</x:v>
      </x:c>
      <x:c r="R65" s="213" t="n">
        <x:f>IF(AND(B65&lt;&gt;"Betriebsferien",OR(WEEKDAY(A65,2)=2,WEEKDAY(A65,2)=4)),1,0)</x:f>
        <x:v>0</x:v>
      </x:c>
      <x:c r="S65" s="214" t="n">
        <x:f>R65*MIN(1,'00_Eingabe'!$B$62/'00_Eingabe'!$B$61)</x:f>
        <x:v>0</x:v>
      </x:c>
      <x:c r="T65" s="213" t="n">
        <x:f>IF(B65="Betriebsferien",0,IF(B65="Nebensaison",IF(OR(WEEKDAY(A65,2)=1,WEEKDAY(A65,2)=3,WEEKDAY(A65,2)=5),1,0),IF(C65="Unterwoche",1,0)))</x:f>
        <x:v>1</x:v>
      </x:c>
      <x:c r="U65" s="213" t="n">
        <x:f>IF(B65="Betriebsferien",0,'00_Eingabe'!$G$24)</x:f>
        <x:v>8</x:v>
      </x:c>
    </x:row>
    <x:row r="66">
      <x:c r="A66" s="121" t="n">
        <x:f>IF(ROW()-4&lt;DATE('00_Eingabe'!$B$7+1,1,1)-DATE('00_Eingabe'!$B$7,1,1),DATE('00_Eingabe'!$B$7,1,1)+ROW()-4,"")</x:f>
        <x:v>45720</x:v>
      </x:c>
      <x:c r="B66" s="122" t="str">
        <x:f>IF(A66="","",IF(OR(AND(MONTH(A66)=12,DAY(A66)&gt;=20),AND(MONTH(A66)=1,DAY(A66)&lt;=2)),"Weihnachten",IF(OR(AND(MONTH(A66)=11,DAY(A66)&gt;=24),AND(MONTH(A66)=12,DAY(A66)&lt;=7)),"Betriebsferien",IF(OR(AND(MONTH(A66)=1,DAY(A66)&gt;=3),MONTH(A66)=2,MONTH(A66)=3,MONTH(A66)=4,MONTH(A66)=10,MONTH(A66)=11,AND(MONTH(A66)=12,DAY(A66)&lt;=15)),"Nebensaison","Hauptsaison"))))</x:f>
        <x:v>Nebensaison</x:v>
      </x:c>
      <x:c r="C66" s="122" t="str">
        <x:f>IF(A66="","",IF(WEEKDAY(A66,2)&gt;=6,"Wochenende","Unterwoche"))</x:f>
        <x:v>Unterwoche</x:v>
      </x:c>
      <x:c r="D66" s="123" t="n">
        <x:f>IF(A66="","",IF(N66&lt;&gt;"",N66,IF(B66="Nebensaison",IF(C66="Wochenende",'00_Eingabe'!$C$24,'00_Eingabe'!$B$24),IF(B66="Hauptsaison",IF(C66="Wochenende",'00_Eingabe'!$C$25,'00_Eingabe'!$B$25),IF(B66="Weihnachten",IF(C66="Wochenende",'00_Eingabe'!$C$26,'00_Eingabe'!$B$26),IF(C66="Wochenende",'00_Eingabe'!$C$27,'00_Eingabe'!$B$27))))))</x:f>
        <x:v>0.7</x:v>
      </x:c>
      <x:c r="E66" s="122" t="n">
        <x:f>IF(OR(A66="",D66=""),"",ROUND('00_Eingabe'!$B$8*D66,0))</x:f>
        <x:v>25</x:v>
      </x:c>
      <x:c r="F66" s="122" t="n">
        <x:f>IF(E66="","",ROUND(E66*'00_Eingabe'!$B$18,0))</x:f>
        <x:v>48</x:v>
      </x:c>
      <x:c r="G66" s="123" t="n">
        <x:f>IF(A66="","",IF(O66&lt;&gt;"",O66,IF(B66="Nebensaison",IF(C66="Wochenende",'00_Eingabe'!$E$24,'00_Eingabe'!$D$24),IF(B66="Hauptsaison",IF(C66="Wochenende",'00_Eingabe'!$E$25,'00_Eingabe'!$D$25),IF(B66="Weihnachten",IF(C66="Wochenende",'00_Eingabe'!$E$26,'00_Eingabe'!$D$26),IF(C66="Wochenende",'00_Eingabe'!$E$27,'00_Eingabe'!$D$27))))))</x:f>
        <x:v>0.7</x:v>
      </x:c>
      <x:c r="H66" s="122" t="n">
        <x:f>IF(OR(A66="",G66=""),"",ROUND('00_Eingabe'!$B$9*G66,0))</x:f>
        <x:v>3</x:v>
      </x:c>
      <x:c r="I66" s="122" t="n">
        <x:f>IF(H66="","",ROUND(H66*'00_Eingabe'!$B$19,0))</x:f>
        <x:v>7</x:v>
      </x:c>
      <x:c r="J66" s="122" t="n">
        <x:f>IF(OR(F66="",I66=""),"",F66+I66)</x:f>
        <x:v>55</x:v>
      </x:c>
      <x:c r="K66" s="122" t="n">
        <x:f>IF(J66="","",ROUND(J66*'00_Eingabe'!$B$16*(1+'00_Eingabe'!$B$14),0))</x:f>
        <x:v>63</x:v>
      </x:c>
      <x:c r="L66" s="122" t="n">
        <x:f>IF(B66="Betriebsferien",0,ROUND(J66*'00_Eingabe'!$B$40,0)+IF(C66="Wochenende",'00_Eingabe'!$B$42,'00_Eingabe'!$B$41))</x:f>
        <x:v>55</x:v>
      </x:c>
      <x:c r="M66" s="123" t="n">
        <x:f>IF(J66="","",ROUND(J66*'00_Eingabe'!$B$17*(1+'00_Eingabe'!$B$15),0))</x:f>
        <x:v>63</x:v>
      </x:c>
      <x:c r="N66" s="106"/>
      <x:c r="O66" s="106"/>
      <x:c r="P66" s="116"/>
      <x:c r="Q66" s="213" t="n">
        <x:f>IF(C66="Wochenende",1,0)</x:f>
        <x:v>0</x:v>
      </x:c>
      <x:c r="R66" s="213" t="n">
        <x:f>IF(AND(B66&lt;&gt;"Betriebsferien",OR(WEEKDAY(A66,2)=2,WEEKDAY(A66,2)=4)),1,0)</x:f>
        <x:v>1</x:v>
      </x:c>
      <x:c r="S66" s="214" t="n">
        <x:f>R66*MIN(1,'00_Eingabe'!$B$62/'00_Eingabe'!$B$61)</x:f>
        <x:v>0.5</x:v>
      </x:c>
      <x:c r="T66" s="213" t="n">
        <x:f>IF(B66="Betriebsferien",0,IF(B66="Nebensaison",IF(OR(WEEKDAY(A66,2)=1,WEEKDAY(A66,2)=3,WEEKDAY(A66,2)=5),1,0),IF(C66="Unterwoche",1,0)))</x:f>
        <x:v>0</x:v>
      </x:c>
      <x:c r="U66" s="213" t="n">
        <x:f>IF(B66="Betriebsferien",0,'00_Eingabe'!$G$24)</x:f>
        <x:v>8</x:v>
      </x:c>
    </x:row>
    <x:row r="67">
      <x:c r="A67" s="121" t="n">
        <x:f>IF(ROW()-4&lt;DATE('00_Eingabe'!$B$7+1,1,1)-DATE('00_Eingabe'!$B$7,1,1),DATE('00_Eingabe'!$B$7,1,1)+ROW()-4,"")</x:f>
        <x:v>45721</x:v>
      </x:c>
      <x:c r="B67" s="122" t="str">
        <x:f>IF(A67="","",IF(OR(AND(MONTH(A67)=12,DAY(A67)&gt;=20),AND(MONTH(A67)=1,DAY(A67)&lt;=2)),"Weihnachten",IF(OR(AND(MONTH(A67)=11,DAY(A67)&gt;=24),AND(MONTH(A67)=12,DAY(A67)&lt;=7)),"Betriebsferien",IF(OR(AND(MONTH(A67)=1,DAY(A67)&gt;=3),MONTH(A67)=2,MONTH(A67)=3,MONTH(A67)=4,MONTH(A67)=10,MONTH(A67)=11,AND(MONTH(A67)=12,DAY(A67)&lt;=15)),"Nebensaison","Hauptsaison"))))</x:f>
        <x:v>Nebensaison</x:v>
      </x:c>
      <x:c r="C67" s="122" t="str">
        <x:f>IF(A67="","",IF(WEEKDAY(A67,2)&gt;=6,"Wochenende","Unterwoche"))</x:f>
        <x:v>Unterwoche</x:v>
      </x:c>
      <x:c r="D67" s="123" t="n">
        <x:f>IF(A67="","",IF(N67&lt;&gt;"",N67,IF(B67="Nebensaison",IF(C67="Wochenende",'00_Eingabe'!$C$24,'00_Eingabe'!$B$24),IF(B67="Hauptsaison",IF(C67="Wochenende",'00_Eingabe'!$C$25,'00_Eingabe'!$B$25),IF(B67="Weihnachten",IF(C67="Wochenende",'00_Eingabe'!$C$26,'00_Eingabe'!$B$26),IF(C67="Wochenende",'00_Eingabe'!$C$27,'00_Eingabe'!$B$27))))))</x:f>
        <x:v>0.7</x:v>
      </x:c>
      <x:c r="E67" s="122" t="n">
        <x:f>IF(OR(A67="",D67=""),"",ROUND('00_Eingabe'!$B$8*D67,0))</x:f>
        <x:v>25</x:v>
      </x:c>
      <x:c r="F67" s="122" t="n">
        <x:f>IF(E67="","",ROUND(E67*'00_Eingabe'!$B$18,0))</x:f>
        <x:v>48</x:v>
      </x:c>
      <x:c r="G67" s="123" t="n">
        <x:f>IF(A67="","",IF(O67&lt;&gt;"",O67,IF(B67="Nebensaison",IF(C67="Wochenende",'00_Eingabe'!$E$24,'00_Eingabe'!$D$24),IF(B67="Hauptsaison",IF(C67="Wochenende",'00_Eingabe'!$E$25,'00_Eingabe'!$D$25),IF(B67="Weihnachten",IF(C67="Wochenende",'00_Eingabe'!$E$26,'00_Eingabe'!$D$26),IF(C67="Wochenende",'00_Eingabe'!$E$27,'00_Eingabe'!$D$27))))))</x:f>
        <x:v>0.7</x:v>
      </x:c>
      <x:c r="H67" s="122" t="n">
        <x:f>IF(OR(A67="",G67=""),"",ROUND('00_Eingabe'!$B$9*G67,0))</x:f>
        <x:v>3</x:v>
      </x:c>
      <x:c r="I67" s="122" t="n">
        <x:f>IF(H67="","",ROUND(H67*'00_Eingabe'!$B$19,0))</x:f>
        <x:v>7</x:v>
      </x:c>
      <x:c r="J67" s="122" t="n">
        <x:f>IF(OR(F67="",I67=""),"",F67+I67)</x:f>
        <x:v>55</x:v>
      </x:c>
      <x:c r="K67" s="122" t="n">
        <x:f>IF(J67="","",ROUND(J67*'00_Eingabe'!$B$16*(1+'00_Eingabe'!$B$14),0))</x:f>
        <x:v>63</x:v>
      </x:c>
      <x:c r="L67" s="122" t="n">
        <x:f>IF(B67="Betriebsferien",0,ROUND(J67*'00_Eingabe'!$B$40,0)+IF(C67="Wochenende",'00_Eingabe'!$B$42,'00_Eingabe'!$B$41))</x:f>
        <x:v>55</x:v>
      </x:c>
      <x:c r="M67" s="123" t="n">
        <x:f>IF(J67="","",ROUND(J67*'00_Eingabe'!$B$17*(1+'00_Eingabe'!$B$15),0))</x:f>
        <x:v>63</x:v>
      </x:c>
      <x:c r="N67" s="106"/>
      <x:c r="O67" s="106"/>
      <x:c r="P67" s="116"/>
      <x:c r="Q67" s="213" t="n">
        <x:f>IF(C67="Wochenende",1,0)</x:f>
        <x:v>0</x:v>
      </x:c>
      <x:c r="R67" s="213" t="n">
        <x:f>IF(AND(B67&lt;&gt;"Betriebsferien",OR(WEEKDAY(A67,2)=2,WEEKDAY(A67,2)=4)),1,0)</x:f>
        <x:v>0</x:v>
      </x:c>
      <x:c r="S67" s="214" t="n">
        <x:f>R67*MIN(1,'00_Eingabe'!$B$62/'00_Eingabe'!$B$61)</x:f>
        <x:v>0</x:v>
      </x:c>
      <x:c r="T67" s="213" t="n">
        <x:f>IF(B67="Betriebsferien",0,IF(B67="Nebensaison",IF(OR(WEEKDAY(A67,2)=1,WEEKDAY(A67,2)=3,WEEKDAY(A67,2)=5),1,0),IF(C67="Unterwoche",1,0)))</x:f>
        <x:v>1</x:v>
      </x:c>
      <x:c r="U67" s="213" t="n">
        <x:f>IF(B67="Betriebsferien",0,'00_Eingabe'!$G$24)</x:f>
        <x:v>8</x:v>
      </x:c>
    </x:row>
    <x:row r="68">
      <x:c r="A68" s="121" t="n">
        <x:f>IF(ROW()-4&lt;DATE('00_Eingabe'!$B$7+1,1,1)-DATE('00_Eingabe'!$B$7,1,1),DATE('00_Eingabe'!$B$7,1,1)+ROW()-4,"")</x:f>
        <x:v>45722</x:v>
      </x:c>
      <x:c r="B68" s="122" t="str">
        <x:f>IF(A68="","",IF(OR(AND(MONTH(A68)=12,DAY(A68)&gt;=20),AND(MONTH(A68)=1,DAY(A68)&lt;=2)),"Weihnachten",IF(OR(AND(MONTH(A68)=11,DAY(A68)&gt;=24),AND(MONTH(A68)=12,DAY(A68)&lt;=7)),"Betriebsferien",IF(OR(AND(MONTH(A68)=1,DAY(A68)&gt;=3),MONTH(A68)=2,MONTH(A68)=3,MONTH(A68)=4,MONTH(A68)=10,MONTH(A68)=11,AND(MONTH(A68)=12,DAY(A68)&lt;=15)),"Nebensaison","Hauptsaison"))))</x:f>
        <x:v>Nebensaison</x:v>
      </x:c>
      <x:c r="C68" s="122" t="str">
        <x:f>IF(A68="","",IF(WEEKDAY(A68,2)&gt;=6,"Wochenende","Unterwoche"))</x:f>
        <x:v>Unterwoche</x:v>
      </x:c>
      <x:c r="D68" s="123" t="n">
        <x:f>IF(A68="","",IF(N68&lt;&gt;"",N68,IF(B68="Nebensaison",IF(C68="Wochenende",'00_Eingabe'!$C$24,'00_Eingabe'!$B$24),IF(B68="Hauptsaison",IF(C68="Wochenende",'00_Eingabe'!$C$25,'00_Eingabe'!$B$25),IF(B68="Weihnachten",IF(C68="Wochenende",'00_Eingabe'!$C$26,'00_Eingabe'!$B$26),IF(C68="Wochenende",'00_Eingabe'!$C$27,'00_Eingabe'!$B$27))))))</x:f>
        <x:v>0.7</x:v>
      </x:c>
      <x:c r="E68" s="122" t="n">
        <x:f>IF(OR(A68="",D68=""),"",ROUND('00_Eingabe'!$B$8*D68,0))</x:f>
        <x:v>25</x:v>
      </x:c>
      <x:c r="F68" s="122" t="n">
        <x:f>IF(E68="","",ROUND(E68*'00_Eingabe'!$B$18,0))</x:f>
        <x:v>48</x:v>
      </x:c>
      <x:c r="G68" s="123" t="n">
        <x:f>IF(A68="","",IF(O68&lt;&gt;"",O68,IF(B68="Nebensaison",IF(C68="Wochenende",'00_Eingabe'!$E$24,'00_Eingabe'!$D$24),IF(B68="Hauptsaison",IF(C68="Wochenende",'00_Eingabe'!$E$25,'00_Eingabe'!$D$25),IF(B68="Weihnachten",IF(C68="Wochenende",'00_Eingabe'!$E$26,'00_Eingabe'!$D$26),IF(C68="Wochenende",'00_Eingabe'!$E$27,'00_Eingabe'!$D$27))))))</x:f>
        <x:v>0.7</x:v>
      </x:c>
      <x:c r="H68" s="122" t="n">
        <x:f>IF(OR(A68="",G68=""),"",ROUND('00_Eingabe'!$B$9*G68,0))</x:f>
        <x:v>3</x:v>
      </x:c>
      <x:c r="I68" s="122" t="n">
        <x:f>IF(H68="","",ROUND(H68*'00_Eingabe'!$B$19,0))</x:f>
        <x:v>7</x:v>
      </x:c>
      <x:c r="J68" s="122" t="n">
        <x:f>IF(OR(F68="",I68=""),"",F68+I68)</x:f>
        <x:v>55</x:v>
      </x:c>
      <x:c r="K68" s="122" t="n">
        <x:f>IF(J68="","",ROUND(J68*'00_Eingabe'!$B$16*(1+'00_Eingabe'!$B$14),0))</x:f>
        <x:v>63</x:v>
      </x:c>
      <x:c r="L68" s="122" t="n">
        <x:f>IF(B68="Betriebsferien",0,ROUND(J68*'00_Eingabe'!$B$40,0)+IF(C68="Wochenende",'00_Eingabe'!$B$42,'00_Eingabe'!$B$41))</x:f>
        <x:v>55</x:v>
      </x:c>
      <x:c r="M68" s="123" t="n">
        <x:f>IF(J68="","",ROUND(J68*'00_Eingabe'!$B$17*(1+'00_Eingabe'!$B$15),0))</x:f>
        <x:v>63</x:v>
      </x:c>
      <x:c r="N68" s="106"/>
      <x:c r="O68" s="106"/>
      <x:c r="P68" s="116"/>
      <x:c r="Q68" s="213" t="n">
        <x:f>IF(C68="Wochenende",1,0)</x:f>
        <x:v>0</x:v>
      </x:c>
      <x:c r="R68" s="213" t="n">
        <x:f>IF(AND(B68&lt;&gt;"Betriebsferien",OR(WEEKDAY(A68,2)=2,WEEKDAY(A68,2)=4)),1,0)</x:f>
        <x:v>1</x:v>
      </x:c>
      <x:c r="S68" s="214" t="n">
        <x:f>R68*MIN(1,'00_Eingabe'!$B$62/'00_Eingabe'!$B$61)</x:f>
        <x:v>0.5</x:v>
      </x:c>
      <x:c r="T68" s="213" t="n">
        <x:f>IF(B68="Betriebsferien",0,IF(B68="Nebensaison",IF(OR(WEEKDAY(A68,2)=1,WEEKDAY(A68,2)=3,WEEKDAY(A68,2)=5),1,0),IF(C68="Unterwoche",1,0)))</x:f>
        <x:v>0</x:v>
      </x:c>
      <x:c r="U68" s="213" t="n">
        <x:f>IF(B68="Betriebsferien",0,'00_Eingabe'!$G$24)</x:f>
        <x:v>8</x:v>
      </x:c>
    </x:row>
    <x:row r="69">
      <x:c r="A69" s="121" t="n">
        <x:f>IF(ROW()-4&lt;DATE('00_Eingabe'!$B$7+1,1,1)-DATE('00_Eingabe'!$B$7,1,1),DATE('00_Eingabe'!$B$7,1,1)+ROW()-4,"")</x:f>
        <x:v>45723</x:v>
      </x:c>
      <x:c r="B69" s="122" t="str">
        <x:f>IF(A69="","",IF(OR(AND(MONTH(A69)=12,DAY(A69)&gt;=20),AND(MONTH(A69)=1,DAY(A69)&lt;=2)),"Weihnachten",IF(OR(AND(MONTH(A69)=11,DAY(A69)&gt;=24),AND(MONTH(A69)=12,DAY(A69)&lt;=7)),"Betriebsferien",IF(OR(AND(MONTH(A69)=1,DAY(A69)&gt;=3),MONTH(A69)=2,MONTH(A69)=3,MONTH(A69)=4,MONTH(A69)=10,MONTH(A69)=11,AND(MONTH(A69)=12,DAY(A69)&lt;=15)),"Nebensaison","Hauptsaison"))))</x:f>
        <x:v>Nebensaison</x:v>
      </x:c>
      <x:c r="C69" s="122" t="str">
        <x:f>IF(A69="","",IF(WEEKDAY(A69,2)&gt;=6,"Wochenende","Unterwoche"))</x:f>
        <x:v>Unterwoche</x:v>
      </x:c>
      <x:c r="D69" s="123" t="n">
        <x:f>IF(A69="","",IF(N69&lt;&gt;"",N69,IF(B69="Nebensaison",IF(C69="Wochenende",'00_Eingabe'!$C$24,'00_Eingabe'!$B$24),IF(B69="Hauptsaison",IF(C69="Wochenende",'00_Eingabe'!$C$25,'00_Eingabe'!$B$25),IF(B69="Weihnachten",IF(C69="Wochenende",'00_Eingabe'!$C$26,'00_Eingabe'!$B$26),IF(C69="Wochenende",'00_Eingabe'!$C$27,'00_Eingabe'!$B$27))))))</x:f>
        <x:v>0.7</x:v>
      </x:c>
      <x:c r="E69" s="122" t="n">
        <x:f>IF(OR(A69="",D69=""),"",ROUND('00_Eingabe'!$B$8*D69,0))</x:f>
        <x:v>25</x:v>
      </x:c>
      <x:c r="F69" s="122" t="n">
        <x:f>IF(E69="","",ROUND(E69*'00_Eingabe'!$B$18,0))</x:f>
        <x:v>48</x:v>
      </x:c>
      <x:c r="G69" s="123" t="n">
        <x:f>IF(A69="","",IF(O69&lt;&gt;"",O69,IF(B69="Nebensaison",IF(C69="Wochenende",'00_Eingabe'!$E$24,'00_Eingabe'!$D$24),IF(B69="Hauptsaison",IF(C69="Wochenende",'00_Eingabe'!$E$25,'00_Eingabe'!$D$25),IF(B69="Weihnachten",IF(C69="Wochenende",'00_Eingabe'!$E$26,'00_Eingabe'!$D$26),IF(C69="Wochenende",'00_Eingabe'!$E$27,'00_Eingabe'!$D$27))))))</x:f>
        <x:v>0.7</x:v>
      </x:c>
      <x:c r="H69" s="122" t="n">
        <x:f>IF(OR(A69="",G69=""),"",ROUND('00_Eingabe'!$B$9*G69,0))</x:f>
        <x:v>3</x:v>
      </x:c>
      <x:c r="I69" s="122" t="n">
        <x:f>IF(H69="","",ROUND(H69*'00_Eingabe'!$B$19,0))</x:f>
        <x:v>7</x:v>
      </x:c>
      <x:c r="J69" s="122" t="n">
        <x:f>IF(OR(F69="",I69=""),"",F69+I69)</x:f>
        <x:v>55</x:v>
      </x:c>
      <x:c r="K69" s="122" t="n">
        <x:f>IF(J69="","",ROUND(J69*'00_Eingabe'!$B$16*(1+'00_Eingabe'!$B$14),0))</x:f>
        <x:v>63</x:v>
      </x:c>
      <x:c r="L69" s="122" t="n">
        <x:f>IF(B69="Betriebsferien",0,ROUND(J69*'00_Eingabe'!$B$40,0)+IF(C69="Wochenende",'00_Eingabe'!$B$42,'00_Eingabe'!$B$41))</x:f>
        <x:v>55</x:v>
      </x:c>
      <x:c r="M69" s="123" t="n">
        <x:f>IF(J69="","",ROUND(J69*'00_Eingabe'!$B$17*(1+'00_Eingabe'!$B$15),0))</x:f>
        <x:v>63</x:v>
      </x:c>
      <x:c r="N69" s="106"/>
      <x:c r="O69" s="106"/>
      <x:c r="P69" s="116"/>
      <x:c r="Q69" s="213" t="n">
        <x:f>IF(C69="Wochenende",1,0)</x:f>
        <x:v>0</x:v>
      </x:c>
      <x:c r="R69" s="213" t="n">
        <x:f>IF(AND(B69&lt;&gt;"Betriebsferien",OR(WEEKDAY(A69,2)=2,WEEKDAY(A69,2)=4)),1,0)</x:f>
        <x:v>0</x:v>
      </x:c>
      <x:c r="S69" s="214" t="n">
        <x:f>R69*MIN(1,'00_Eingabe'!$B$62/'00_Eingabe'!$B$61)</x:f>
        <x:v>0</x:v>
      </x:c>
      <x:c r="T69" s="213" t="n">
        <x:f>IF(B69="Betriebsferien",0,IF(B69="Nebensaison",IF(OR(WEEKDAY(A69,2)=1,WEEKDAY(A69,2)=3,WEEKDAY(A69,2)=5),1,0),IF(C69="Unterwoche",1,0)))</x:f>
        <x:v>1</x:v>
      </x:c>
      <x:c r="U69" s="213" t="n">
        <x:f>IF(B69="Betriebsferien",0,'00_Eingabe'!$G$24)</x:f>
        <x:v>8</x:v>
      </x:c>
    </x:row>
    <x:row r="70">
      <x:c r="A70" s="121" t="n">
        <x:f>IF(ROW()-4&lt;DATE('00_Eingabe'!$B$7+1,1,1)-DATE('00_Eingabe'!$B$7,1,1),DATE('00_Eingabe'!$B$7,1,1)+ROW()-4,"")</x:f>
        <x:v>45724</x:v>
      </x:c>
      <x:c r="B70" s="122" t="str">
        <x:f>IF(A70="","",IF(OR(AND(MONTH(A70)=12,DAY(A70)&gt;=20),AND(MONTH(A70)=1,DAY(A70)&lt;=2)),"Weihnachten",IF(OR(AND(MONTH(A70)=11,DAY(A70)&gt;=24),AND(MONTH(A70)=12,DAY(A70)&lt;=7)),"Betriebsferien",IF(OR(AND(MONTH(A70)=1,DAY(A70)&gt;=3),MONTH(A70)=2,MONTH(A70)=3,MONTH(A70)=4,MONTH(A70)=10,MONTH(A70)=11,AND(MONTH(A70)=12,DAY(A70)&lt;=15)),"Nebensaison","Hauptsaison"))))</x:f>
        <x:v>Nebensaison</x:v>
      </x:c>
      <x:c r="C70" s="122" t="str">
        <x:f>IF(A70="","",IF(WEEKDAY(A70,2)&gt;=6,"Wochenende","Unterwoche"))</x:f>
        <x:v>Wochenende</x:v>
      </x:c>
      <x:c r="D70" s="123" t="n">
        <x:f>IF(A70="","",IF(N70&lt;&gt;"",N70,IF(B70="Nebensaison",IF(C70="Wochenende",'00_Eingabe'!$C$24,'00_Eingabe'!$B$24),IF(B70="Hauptsaison",IF(C70="Wochenende",'00_Eingabe'!$C$25,'00_Eingabe'!$B$25),IF(B70="Weihnachten",IF(C70="Wochenende",'00_Eingabe'!$C$26,'00_Eingabe'!$B$26),IF(C70="Wochenende",'00_Eingabe'!$C$27,'00_Eingabe'!$B$27))))))</x:f>
        <x:v>0.75</x:v>
      </x:c>
      <x:c r="E70" s="122" t="n">
        <x:f>IF(OR(A70="",D70=""),"",ROUND('00_Eingabe'!$B$8*D70,0))</x:f>
        <x:v>26</x:v>
      </x:c>
      <x:c r="F70" s="122" t="n">
        <x:f>IF(E70="","",ROUND(E70*'00_Eingabe'!$B$18,0))</x:f>
        <x:v>49</x:v>
      </x:c>
      <x:c r="G70" s="123" t="n">
        <x:f>IF(A70="","",IF(O70&lt;&gt;"",O70,IF(B70="Nebensaison",IF(C70="Wochenende",'00_Eingabe'!$E$24,'00_Eingabe'!$D$24),IF(B70="Hauptsaison",IF(C70="Wochenende",'00_Eingabe'!$E$25,'00_Eingabe'!$D$25),IF(B70="Weihnachten",IF(C70="Wochenende",'00_Eingabe'!$E$26,'00_Eingabe'!$D$26),IF(C70="Wochenende",'00_Eingabe'!$E$27,'00_Eingabe'!$D$27))))))</x:f>
        <x:v>0.75</x:v>
      </x:c>
      <x:c r="H70" s="122" t="n">
        <x:f>IF(OR(A70="",G70=""),"",ROUND('00_Eingabe'!$B$9*G70,0))</x:f>
        <x:v>3</x:v>
      </x:c>
      <x:c r="I70" s="122" t="n">
        <x:f>IF(H70="","",ROUND(H70*'00_Eingabe'!$B$19,0))</x:f>
        <x:v>7</x:v>
      </x:c>
      <x:c r="J70" s="122" t="n">
        <x:f>IF(OR(F70="",I70=""),"",F70+I70)</x:f>
        <x:v>56</x:v>
      </x:c>
      <x:c r="K70" s="122" t="n">
        <x:f>IF(J70="","",ROUND(J70*'00_Eingabe'!$B$16*(1+'00_Eingabe'!$B$14),0))</x:f>
        <x:v>64</x:v>
      </x:c>
      <x:c r="L70" s="122" t="n">
        <x:f>IF(B70="Betriebsferien",0,ROUND(J70*'00_Eingabe'!$B$40,0)+IF(C70="Wochenende",'00_Eingabe'!$B$42,'00_Eingabe'!$B$41))</x:f>
        <x:v>80</x:v>
      </x:c>
      <x:c r="M70" s="123" t="n">
        <x:f>IF(J70="","",ROUND(J70*'00_Eingabe'!$B$17*(1+'00_Eingabe'!$B$15),0))</x:f>
        <x:v>64</x:v>
      </x:c>
      <x:c r="N70" s="106"/>
      <x:c r="O70" s="106"/>
      <x:c r="P70" s="116"/>
      <x:c r="Q70" s="213" t="n">
        <x:f>IF(C70="Wochenende",1,0)</x:f>
        <x:v>1</x:v>
      </x:c>
      <x:c r="R70" s="213" t="n">
        <x:f>IF(AND(B70&lt;&gt;"Betriebsferien",OR(WEEKDAY(A70,2)=2,WEEKDAY(A70,2)=4)),1,0)</x:f>
        <x:v>0</x:v>
      </x:c>
      <x:c r="S70" s="214" t="n">
        <x:f>R70*MIN(1,'00_Eingabe'!$B$62/'00_Eingabe'!$B$61)</x:f>
        <x:v>0</x:v>
      </x:c>
      <x:c r="T70" s="213" t="n">
        <x:f>IF(B70="Betriebsferien",0,IF(B70="Nebensaison",IF(OR(WEEKDAY(A70,2)=1,WEEKDAY(A70,2)=3,WEEKDAY(A70,2)=5),1,0),IF(C70="Unterwoche",1,0)))</x:f>
        <x:v>0</x:v>
      </x:c>
      <x:c r="U70" s="213" t="n">
        <x:f>IF(B70="Betriebsferien",0,'00_Eingabe'!$G$24)</x:f>
        <x:v>8</x:v>
      </x:c>
    </x:row>
    <x:row r="71">
      <x:c r="A71" s="121" t="n">
        <x:f>IF(ROW()-4&lt;DATE('00_Eingabe'!$B$7+1,1,1)-DATE('00_Eingabe'!$B$7,1,1),DATE('00_Eingabe'!$B$7,1,1)+ROW()-4,"")</x:f>
        <x:v>45725</x:v>
      </x:c>
      <x:c r="B71" s="122" t="str">
        <x:f>IF(A71="","",IF(OR(AND(MONTH(A71)=12,DAY(A71)&gt;=20),AND(MONTH(A71)=1,DAY(A71)&lt;=2)),"Weihnachten",IF(OR(AND(MONTH(A71)=11,DAY(A71)&gt;=24),AND(MONTH(A71)=12,DAY(A71)&lt;=7)),"Betriebsferien",IF(OR(AND(MONTH(A71)=1,DAY(A71)&gt;=3),MONTH(A71)=2,MONTH(A71)=3,MONTH(A71)=4,MONTH(A71)=10,MONTH(A71)=11,AND(MONTH(A71)=12,DAY(A71)&lt;=15)),"Nebensaison","Hauptsaison"))))</x:f>
        <x:v>Nebensaison</x:v>
      </x:c>
      <x:c r="C71" s="122" t="str">
        <x:f>IF(A71="","",IF(WEEKDAY(A71,2)&gt;=6,"Wochenende","Unterwoche"))</x:f>
        <x:v>Wochenende</x:v>
      </x:c>
      <x:c r="D71" s="123" t="n">
        <x:f>IF(A71="","",IF(N71&lt;&gt;"",N71,IF(B71="Nebensaison",IF(C71="Wochenende",'00_Eingabe'!$C$24,'00_Eingabe'!$B$24),IF(B71="Hauptsaison",IF(C71="Wochenende",'00_Eingabe'!$C$25,'00_Eingabe'!$B$25),IF(B71="Weihnachten",IF(C71="Wochenende",'00_Eingabe'!$C$26,'00_Eingabe'!$B$26),IF(C71="Wochenende",'00_Eingabe'!$C$27,'00_Eingabe'!$B$27))))))</x:f>
        <x:v>0.75</x:v>
      </x:c>
      <x:c r="E71" s="122" t="n">
        <x:f>IF(OR(A71="",D71=""),"",ROUND('00_Eingabe'!$B$8*D71,0))</x:f>
        <x:v>26</x:v>
      </x:c>
      <x:c r="F71" s="122" t="n">
        <x:f>IF(E71="","",ROUND(E71*'00_Eingabe'!$B$18,0))</x:f>
        <x:v>49</x:v>
      </x:c>
      <x:c r="G71" s="123" t="n">
        <x:f>IF(A71="","",IF(O71&lt;&gt;"",O71,IF(B71="Nebensaison",IF(C71="Wochenende",'00_Eingabe'!$E$24,'00_Eingabe'!$D$24),IF(B71="Hauptsaison",IF(C71="Wochenende",'00_Eingabe'!$E$25,'00_Eingabe'!$D$25),IF(B71="Weihnachten",IF(C71="Wochenende",'00_Eingabe'!$E$26,'00_Eingabe'!$D$26),IF(C71="Wochenende",'00_Eingabe'!$E$27,'00_Eingabe'!$D$27))))))</x:f>
        <x:v>0.75</x:v>
      </x:c>
      <x:c r="H71" s="122" t="n">
        <x:f>IF(OR(A71="",G71=""),"",ROUND('00_Eingabe'!$B$9*G71,0))</x:f>
        <x:v>3</x:v>
      </x:c>
      <x:c r="I71" s="122" t="n">
        <x:f>IF(H71="","",ROUND(H71*'00_Eingabe'!$B$19,0))</x:f>
        <x:v>7</x:v>
      </x:c>
      <x:c r="J71" s="122" t="n">
        <x:f>IF(OR(F71="",I71=""),"",F71+I71)</x:f>
        <x:v>56</x:v>
      </x:c>
      <x:c r="K71" s="122" t="n">
        <x:f>IF(J71="","",ROUND(J71*'00_Eingabe'!$B$16*(1+'00_Eingabe'!$B$14),0))</x:f>
        <x:v>64</x:v>
      </x:c>
      <x:c r="L71" s="122" t="n">
        <x:f>IF(B71="Betriebsferien",0,ROUND(J71*'00_Eingabe'!$B$40,0)+IF(C71="Wochenende",'00_Eingabe'!$B$42,'00_Eingabe'!$B$41))</x:f>
        <x:v>80</x:v>
      </x:c>
      <x:c r="M71" s="123" t="n">
        <x:f>IF(J71="","",ROUND(J71*'00_Eingabe'!$B$17*(1+'00_Eingabe'!$B$15),0))</x:f>
        <x:v>64</x:v>
      </x:c>
      <x:c r="N71" s="106"/>
      <x:c r="O71" s="106"/>
      <x:c r="P71" s="116"/>
      <x:c r="Q71" s="213" t="n">
        <x:f>IF(C71="Wochenende",1,0)</x:f>
        <x:v>1</x:v>
      </x:c>
      <x:c r="R71" s="213" t="n">
        <x:f>IF(AND(B71&lt;&gt;"Betriebsferien",OR(WEEKDAY(A71,2)=2,WEEKDAY(A71,2)=4)),1,0)</x:f>
        <x:v>0</x:v>
      </x:c>
      <x:c r="S71" s="214" t="n">
        <x:f>R71*MIN(1,'00_Eingabe'!$B$62/'00_Eingabe'!$B$61)</x:f>
        <x:v>0</x:v>
      </x:c>
      <x:c r="T71" s="213" t="n">
        <x:f>IF(B71="Betriebsferien",0,IF(B71="Nebensaison",IF(OR(WEEKDAY(A71,2)=1,WEEKDAY(A71,2)=3,WEEKDAY(A71,2)=5),1,0),IF(C71="Unterwoche",1,0)))</x:f>
        <x:v>0</x:v>
      </x:c>
      <x:c r="U71" s="213" t="n">
        <x:f>IF(B71="Betriebsferien",0,'00_Eingabe'!$G$24)</x:f>
        <x:v>8</x:v>
      </x:c>
    </x:row>
    <x:row r="72">
      <x:c r="A72" s="121" t="n">
        <x:f>IF(ROW()-4&lt;DATE('00_Eingabe'!$B$7+1,1,1)-DATE('00_Eingabe'!$B$7,1,1),DATE('00_Eingabe'!$B$7,1,1)+ROW()-4,"")</x:f>
        <x:v>45726</x:v>
      </x:c>
      <x:c r="B72" s="122" t="str">
        <x:f>IF(A72="","",IF(OR(AND(MONTH(A72)=12,DAY(A72)&gt;=20),AND(MONTH(A72)=1,DAY(A72)&lt;=2)),"Weihnachten",IF(OR(AND(MONTH(A72)=11,DAY(A72)&gt;=24),AND(MONTH(A72)=12,DAY(A72)&lt;=7)),"Betriebsferien",IF(OR(AND(MONTH(A72)=1,DAY(A72)&gt;=3),MONTH(A72)=2,MONTH(A72)=3,MONTH(A72)=4,MONTH(A72)=10,MONTH(A72)=11,AND(MONTH(A72)=12,DAY(A72)&lt;=15)),"Nebensaison","Hauptsaison"))))</x:f>
        <x:v>Nebensaison</x:v>
      </x:c>
      <x:c r="C72" s="122" t="str">
        <x:f>IF(A72="","",IF(WEEKDAY(A72,2)&gt;=6,"Wochenende","Unterwoche"))</x:f>
        <x:v>Unterwoche</x:v>
      </x:c>
      <x:c r="D72" s="123" t="n">
        <x:f>IF(A72="","",IF(N72&lt;&gt;"",N72,IF(B72="Nebensaison",IF(C72="Wochenende",'00_Eingabe'!$C$24,'00_Eingabe'!$B$24),IF(B72="Hauptsaison",IF(C72="Wochenende",'00_Eingabe'!$C$25,'00_Eingabe'!$B$25),IF(B72="Weihnachten",IF(C72="Wochenende",'00_Eingabe'!$C$26,'00_Eingabe'!$B$26),IF(C72="Wochenende",'00_Eingabe'!$C$27,'00_Eingabe'!$B$27))))))</x:f>
        <x:v>0.7</x:v>
      </x:c>
      <x:c r="E72" s="122" t="n">
        <x:f>IF(OR(A72="",D72=""),"",ROUND('00_Eingabe'!$B$8*D72,0))</x:f>
        <x:v>25</x:v>
      </x:c>
      <x:c r="F72" s="122" t="n">
        <x:f>IF(E72="","",ROUND(E72*'00_Eingabe'!$B$18,0))</x:f>
        <x:v>48</x:v>
      </x:c>
      <x:c r="G72" s="123" t="n">
        <x:f>IF(A72="","",IF(O72&lt;&gt;"",O72,IF(B72="Nebensaison",IF(C72="Wochenende",'00_Eingabe'!$E$24,'00_Eingabe'!$D$24),IF(B72="Hauptsaison",IF(C72="Wochenende",'00_Eingabe'!$E$25,'00_Eingabe'!$D$25),IF(B72="Weihnachten",IF(C72="Wochenende",'00_Eingabe'!$E$26,'00_Eingabe'!$D$26),IF(C72="Wochenende",'00_Eingabe'!$E$27,'00_Eingabe'!$D$27))))))</x:f>
        <x:v>0.7</x:v>
      </x:c>
      <x:c r="H72" s="122" t="n">
        <x:f>IF(OR(A72="",G72=""),"",ROUND('00_Eingabe'!$B$9*G72,0))</x:f>
        <x:v>3</x:v>
      </x:c>
      <x:c r="I72" s="122" t="n">
        <x:f>IF(H72="","",ROUND(H72*'00_Eingabe'!$B$19,0))</x:f>
        <x:v>7</x:v>
      </x:c>
      <x:c r="J72" s="122" t="n">
        <x:f>IF(OR(F72="",I72=""),"",F72+I72)</x:f>
        <x:v>55</x:v>
      </x:c>
      <x:c r="K72" s="122" t="n">
        <x:f>IF(J72="","",ROUND(J72*'00_Eingabe'!$B$16*(1+'00_Eingabe'!$B$14),0))</x:f>
        <x:v>63</x:v>
      </x:c>
      <x:c r="L72" s="122" t="n">
        <x:f>IF(B72="Betriebsferien",0,ROUND(J72*'00_Eingabe'!$B$40,0)+IF(C72="Wochenende",'00_Eingabe'!$B$42,'00_Eingabe'!$B$41))</x:f>
        <x:v>55</x:v>
      </x:c>
      <x:c r="M72" s="123" t="n">
        <x:f>IF(J72="","",ROUND(J72*'00_Eingabe'!$B$17*(1+'00_Eingabe'!$B$15),0))</x:f>
        <x:v>63</x:v>
      </x:c>
      <x:c r="N72" s="106"/>
      <x:c r="O72" s="106"/>
      <x:c r="P72" s="116"/>
      <x:c r="Q72" s="213" t="n">
        <x:f>IF(C72="Wochenende",1,0)</x:f>
        <x:v>0</x:v>
      </x:c>
      <x:c r="R72" s="213" t="n">
        <x:f>IF(AND(B72&lt;&gt;"Betriebsferien",OR(WEEKDAY(A72,2)=2,WEEKDAY(A72,2)=4)),1,0)</x:f>
        <x:v>0</x:v>
      </x:c>
      <x:c r="S72" s="214" t="n">
        <x:f>R72*MIN(1,'00_Eingabe'!$B$62/'00_Eingabe'!$B$61)</x:f>
        <x:v>0</x:v>
      </x:c>
      <x:c r="T72" s="213" t="n">
        <x:f>IF(B72="Betriebsferien",0,IF(B72="Nebensaison",IF(OR(WEEKDAY(A72,2)=1,WEEKDAY(A72,2)=3,WEEKDAY(A72,2)=5),1,0),IF(C72="Unterwoche",1,0)))</x:f>
        <x:v>1</x:v>
      </x:c>
      <x:c r="U72" s="213" t="n">
        <x:f>IF(B72="Betriebsferien",0,'00_Eingabe'!$G$24)</x:f>
        <x:v>8</x:v>
      </x:c>
    </x:row>
    <x:row r="73">
      <x:c r="A73" s="121" t="n">
        <x:f>IF(ROW()-4&lt;DATE('00_Eingabe'!$B$7+1,1,1)-DATE('00_Eingabe'!$B$7,1,1),DATE('00_Eingabe'!$B$7,1,1)+ROW()-4,"")</x:f>
        <x:v>45727</x:v>
      </x:c>
      <x:c r="B73" s="122" t="str">
        <x:f>IF(A73="","",IF(OR(AND(MONTH(A73)=12,DAY(A73)&gt;=20),AND(MONTH(A73)=1,DAY(A73)&lt;=2)),"Weihnachten",IF(OR(AND(MONTH(A73)=11,DAY(A73)&gt;=24),AND(MONTH(A73)=12,DAY(A73)&lt;=7)),"Betriebsferien",IF(OR(AND(MONTH(A73)=1,DAY(A73)&gt;=3),MONTH(A73)=2,MONTH(A73)=3,MONTH(A73)=4,MONTH(A73)=10,MONTH(A73)=11,AND(MONTH(A73)=12,DAY(A73)&lt;=15)),"Nebensaison","Hauptsaison"))))</x:f>
        <x:v>Nebensaison</x:v>
      </x:c>
      <x:c r="C73" s="122" t="str">
        <x:f>IF(A73="","",IF(WEEKDAY(A73,2)&gt;=6,"Wochenende","Unterwoche"))</x:f>
        <x:v>Unterwoche</x:v>
      </x:c>
      <x:c r="D73" s="123" t="n">
        <x:f>IF(A73="","",IF(N73&lt;&gt;"",N73,IF(B73="Nebensaison",IF(C73="Wochenende",'00_Eingabe'!$C$24,'00_Eingabe'!$B$24),IF(B73="Hauptsaison",IF(C73="Wochenende",'00_Eingabe'!$C$25,'00_Eingabe'!$B$25),IF(B73="Weihnachten",IF(C73="Wochenende",'00_Eingabe'!$C$26,'00_Eingabe'!$B$26),IF(C73="Wochenende",'00_Eingabe'!$C$27,'00_Eingabe'!$B$27))))))</x:f>
        <x:v>0.7</x:v>
      </x:c>
      <x:c r="E73" s="122" t="n">
        <x:f>IF(OR(A73="",D73=""),"",ROUND('00_Eingabe'!$B$8*D73,0))</x:f>
        <x:v>25</x:v>
      </x:c>
      <x:c r="F73" s="122" t="n">
        <x:f>IF(E73="","",ROUND(E73*'00_Eingabe'!$B$18,0))</x:f>
        <x:v>48</x:v>
      </x:c>
      <x:c r="G73" s="123" t="n">
        <x:f>IF(A73="","",IF(O73&lt;&gt;"",O73,IF(B73="Nebensaison",IF(C73="Wochenende",'00_Eingabe'!$E$24,'00_Eingabe'!$D$24),IF(B73="Hauptsaison",IF(C73="Wochenende",'00_Eingabe'!$E$25,'00_Eingabe'!$D$25),IF(B73="Weihnachten",IF(C73="Wochenende",'00_Eingabe'!$E$26,'00_Eingabe'!$D$26),IF(C73="Wochenende",'00_Eingabe'!$E$27,'00_Eingabe'!$D$27))))))</x:f>
        <x:v>0.7</x:v>
      </x:c>
      <x:c r="H73" s="122" t="n">
        <x:f>IF(OR(A73="",G73=""),"",ROUND('00_Eingabe'!$B$9*G73,0))</x:f>
        <x:v>3</x:v>
      </x:c>
      <x:c r="I73" s="122" t="n">
        <x:f>IF(H73="","",ROUND(H73*'00_Eingabe'!$B$19,0))</x:f>
        <x:v>7</x:v>
      </x:c>
      <x:c r="J73" s="122" t="n">
        <x:f>IF(OR(F73="",I73=""),"",F73+I73)</x:f>
        <x:v>55</x:v>
      </x:c>
      <x:c r="K73" s="122" t="n">
        <x:f>IF(J73="","",ROUND(J73*'00_Eingabe'!$B$16*(1+'00_Eingabe'!$B$14),0))</x:f>
        <x:v>63</x:v>
      </x:c>
      <x:c r="L73" s="122" t="n">
        <x:f>IF(B73="Betriebsferien",0,ROUND(J73*'00_Eingabe'!$B$40,0)+IF(C73="Wochenende",'00_Eingabe'!$B$42,'00_Eingabe'!$B$41))</x:f>
        <x:v>55</x:v>
      </x:c>
      <x:c r="M73" s="123" t="n">
        <x:f>IF(J73="","",ROUND(J73*'00_Eingabe'!$B$17*(1+'00_Eingabe'!$B$15),0))</x:f>
        <x:v>63</x:v>
      </x:c>
      <x:c r="N73" s="106"/>
      <x:c r="O73" s="106"/>
      <x:c r="P73" s="116"/>
      <x:c r="Q73" s="213" t="n">
        <x:f>IF(C73="Wochenende",1,0)</x:f>
        <x:v>0</x:v>
      </x:c>
      <x:c r="R73" s="213" t="n">
        <x:f>IF(AND(B73&lt;&gt;"Betriebsferien",OR(WEEKDAY(A73,2)=2,WEEKDAY(A73,2)=4)),1,0)</x:f>
        <x:v>1</x:v>
      </x:c>
      <x:c r="S73" s="214" t="n">
        <x:f>R73*MIN(1,'00_Eingabe'!$B$62/'00_Eingabe'!$B$61)</x:f>
        <x:v>0.5</x:v>
      </x:c>
      <x:c r="T73" s="213" t="n">
        <x:f>IF(B73="Betriebsferien",0,IF(B73="Nebensaison",IF(OR(WEEKDAY(A73,2)=1,WEEKDAY(A73,2)=3,WEEKDAY(A73,2)=5),1,0),IF(C73="Unterwoche",1,0)))</x:f>
        <x:v>0</x:v>
      </x:c>
      <x:c r="U73" s="213" t="n">
        <x:f>IF(B73="Betriebsferien",0,'00_Eingabe'!$G$24)</x:f>
        <x:v>8</x:v>
      </x:c>
    </x:row>
    <x:row r="74">
      <x:c r="A74" s="121" t="n">
        <x:f>IF(ROW()-4&lt;DATE('00_Eingabe'!$B$7+1,1,1)-DATE('00_Eingabe'!$B$7,1,1),DATE('00_Eingabe'!$B$7,1,1)+ROW()-4,"")</x:f>
        <x:v>45728</x:v>
      </x:c>
      <x:c r="B74" s="122" t="str">
        <x:f>IF(A74="","",IF(OR(AND(MONTH(A74)=12,DAY(A74)&gt;=20),AND(MONTH(A74)=1,DAY(A74)&lt;=2)),"Weihnachten",IF(OR(AND(MONTH(A74)=11,DAY(A74)&gt;=24),AND(MONTH(A74)=12,DAY(A74)&lt;=7)),"Betriebsferien",IF(OR(AND(MONTH(A74)=1,DAY(A74)&gt;=3),MONTH(A74)=2,MONTH(A74)=3,MONTH(A74)=4,MONTH(A74)=10,MONTH(A74)=11,AND(MONTH(A74)=12,DAY(A74)&lt;=15)),"Nebensaison","Hauptsaison"))))</x:f>
        <x:v>Nebensaison</x:v>
      </x:c>
      <x:c r="C74" s="122" t="str">
        <x:f>IF(A74="","",IF(WEEKDAY(A74,2)&gt;=6,"Wochenende","Unterwoche"))</x:f>
        <x:v>Unterwoche</x:v>
      </x:c>
      <x:c r="D74" s="123" t="n">
        <x:f>IF(A74="","",IF(N74&lt;&gt;"",N74,IF(B74="Nebensaison",IF(C74="Wochenende",'00_Eingabe'!$C$24,'00_Eingabe'!$B$24),IF(B74="Hauptsaison",IF(C74="Wochenende",'00_Eingabe'!$C$25,'00_Eingabe'!$B$25),IF(B74="Weihnachten",IF(C74="Wochenende",'00_Eingabe'!$C$26,'00_Eingabe'!$B$26),IF(C74="Wochenende",'00_Eingabe'!$C$27,'00_Eingabe'!$B$27))))))</x:f>
        <x:v>0.7</x:v>
      </x:c>
      <x:c r="E74" s="122" t="n">
        <x:f>IF(OR(A74="",D74=""),"",ROUND('00_Eingabe'!$B$8*D74,0))</x:f>
        <x:v>25</x:v>
      </x:c>
      <x:c r="F74" s="122" t="n">
        <x:f>IF(E74="","",ROUND(E74*'00_Eingabe'!$B$18,0))</x:f>
        <x:v>48</x:v>
      </x:c>
      <x:c r="G74" s="123" t="n">
        <x:f>IF(A74="","",IF(O74&lt;&gt;"",O74,IF(B74="Nebensaison",IF(C74="Wochenende",'00_Eingabe'!$E$24,'00_Eingabe'!$D$24),IF(B74="Hauptsaison",IF(C74="Wochenende",'00_Eingabe'!$E$25,'00_Eingabe'!$D$25),IF(B74="Weihnachten",IF(C74="Wochenende",'00_Eingabe'!$E$26,'00_Eingabe'!$D$26),IF(C74="Wochenende",'00_Eingabe'!$E$27,'00_Eingabe'!$D$27))))))</x:f>
        <x:v>0.7</x:v>
      </x:c>
      <x:c r="H74" s="122" t="n">
        <x:f>IF(OR(A74="",G74=""),"",ROUND('00_Eingabe'!$B$9*G74,0))</x:f>
        <x:v>3</x:v>
      </x:c>
      <x:c r="I74" s="122" t="n">
        <x:f>IF(H74="","",ROUND(H74*'00_Eingabe'!$B$19,0))</x:f>
        <x:v>7</x:v>
      </x:c>
      <x:c r="J74" s="122" t="n">
        <x:f>IF(OR(F74="",I74=""),"",F74+I74)</x:f>
        <x:v>55</x:v>
      </x:c>
      <x:c r="K74" s="122" t="n">
        <x:f>IF(J74="","",ROUND(J74*'00_Eingabe'!$B$16*(1+'00_Eingabe'!$B$14),0))</x:f>
        <x:v>63</x:v>
      </x:c>
      <x:c r="L74" s="122" t="n">
        <x:f>IF(B74="Betriebsferien",0,ROUND(J74*'00_Eingabe'!$B$40,0)+IF(C74="Wochenende",'00_Eingabe'!$B$42,'00_Eingabe'!$B$41))</x:f>
        <x:v>55</x:v>
      </x:c>
      <x:c r="M74" s="123" t="n">
        <x:f>IF(J74="","",ROUND(J74*'00_Eingabe'!$B$17*(1+'00_Eingabe'!$B$15),0))</x:f>
        <x:v>63</x:v>
      </x:c>
      <x:c r="N74" s="106"/>
      <x:c r="O74" s="106"/>
      <x:c r="P74" s="116"/>
      <x:c r="Q74" s="213" t="n">
        <x:f>IF(C74="Wochenende",1,0)</x:f>
        <x:v>0</x:v>
      </x:c>
      <x:c r="R74" s="213" t="n">
        <x:f>IF(AND(B74&lt;&gt;"Betriebsferien",OR(WEEKDAY(A74,2)=2,WEEKDAY(A74,2)=4)),1,0)</x:f>
        <x:v>0</x:v>
      </x:c>
      <x:c r="S74" s="214" t="n">
        <x:f>R74*MIN(1,'00_Eingabe'!$B$62/'00_Eingabe'!$B$61)</x:f>
        <x:v>0</x:v>
      </x:c>
      <x:c r="T74" s="213" t="n">
        <x:f>IF(B74="Betriebsferien",0,IF(B74="Nebensaison",IF(OR(WEEKDAY(A74,2)=1,WEEKDAY(A74,2)=3,WEEKDAY(A74,2)=5),1,0),IF(C74="Unterwoche",1,0)))</x:f>
        <x:v>1</x:v>
      </x:c>
      <x:c r="U74" s="213" t="n">
        <x:f>IF(B74="Betriebsferien",0,'00_Eingabe'!$G$24)</x:f>
        <x:v>8</x:v>
      </x:c>
    </x:row>
    <x:row r="75">
      <x:c r="A75" s="121" t="n">
        <x:f>IF(ROW()-4&lt;DATE('00_Eingabe'!$B$7+1,1,1)-DATE('00_Eingabe'!$B$7,1,1),DATE('00_Eingabe'!$B$7,1,1)+ROW()-4,"")</x:f>
        <x:v>45729</x:v>
      </x:c>
      <x:c r="B75" s="122" t="str">
        <x:f>IF(A75="","",IF(OR(AND(MONTH(A75)=12,DAY(A75)&gt;=20),AND(MONTH(A75)=1,DAY(A75)&lt;=2)),"Weihnachten",IF(OR(AND(MONTH(A75)=11,DAY(A75)&gt;=24),AND(MONTH(A75)=12,DAY(A75)&lt;=7)),"Betriebsferien",IF(OR(AND(MONTH(A75)=1,DAY(A75)&gt;=3),MONTH(A75)=2,MONTH(A75)=3,MONTH(A75)=4,MONTH(A75)=10,MONTH(A75)=11,AND(MONTH(A75)=12,DAY(A75)&lt;=15)),"Nebensaison","Hauptsaison"))))</x:f>
        <x:v>Nebensaison</x:v>
      </x:c>
      <x:c r="C75" s="122" t="str">
        <x:f>IF(A75="","",IF(WEEKDAY(A75,2)&gt;=6,"Wochenende","Unterwoche"))</x:f>
        <x:v>Unterwoche</x:v>
      </x:c>
      <x:c r="D75" s="123" t="n">
        <x:f>IF(A75="","",IF(N75&lt;&gt;"",N75,IF(B75="Nebensaison",IF(C75="Wochenende",'00_Eingabe'!$C$24,'00_Eingabe'!$B$24),IF(B75="Hauptsaison",IF(C75="Wochenende",'00_Eingabe'!$C$25,'00_Eingabe'!$B$25),IF(B75="Weihnachten",IF(C75="Wochenende",'00_Eingabe'!$C$26,'00_Eingabe'!$B$26),IF(C75="Wochenende",'00_Eingabe'!$C$27,'00_Eingabe'!$B$27))))))</x:f>
        <x:v>0.7</x:v>
      </x:c>
      <x:c r="E75" s="122" t="n">
        <x:f>IF(OR(A75="",D75=""),"",ROUND('00_Eingabe'!$B$8*D75,0))</x:f>
        <x:v>25</x:v>
      </x:c>
      <x:c r="F75" s="122" t="n">
        <x:f>IF(E75="","",ROUND(E75*'00_Eingabe'!$B$18,0))</x:f>
        <x:v>48</x:v>
      </x:c>
      <x:c r="G75" s="123" t="n">
        <x:f>IF(A75="","",IF(O75&lt;&gt;"",O75,IF(B75="Nebensaison",IF(C75="Wochenende",'00_Eingabe'!$E$24,'00_Eingabe'!$D$24),IF(B75="Hauptsaison",IF(C75="Wochenende",'00_Eingabe'!$E$25,'00_Eingabe'!$D$25),IF(B75="Weihnachten",IF(C75="Wochenende",'00_Eingabe'!$E$26,'00_Eingabe'!$D$26),IF(C75="Wochenende",'00_Eingabe'!$E$27,'00_Eingabe'!$D$27))))))</x:f>
        <x:v>0.7</x:v>
      </x:c>
      <x:c r="H75" s="122" t="n">
        <x:f>IF(OR(A75="",G75=""),"",ROUND('00_Eingabe'!$B$9*G75,0))</x:f>
        <x:v>3</x:v>
      </x:c>
      <x:c r="I75" s="122" t="n">
        <x:f>IF(H75="","",ROUND(H75*'00_Eingabe'!$B$19,0))</x:f>
        <x:v>7</x:v>
      </x:c>
      <x:c r="J75" s="122" t="n">
        <x:f>IF(OR(F75="",I75=""),"",F75+I75)</x:f>
        <x:v>55</x:v>
      </x:c>
      <x:c r="K75" s="122" t="n">
        <x:f>IF(J75="","",ROUND(J75*'00_Eingabe'!$B$16*(1+'00_Eingabe'!$B$14),0))</x:f>
        <x:v>63</x:v>
      </x:c>
      <x:c r="L75" s="122" t="n">
        <x:f>IF(B75="Betriebsferien",0,ROUND(J75*'00_Eingabe'!$B$40,0)+IF(C75="Wochenende",'00_Eingabe'!$B$42,'00_Eingabe'!$B$41))</x:f>
        <x:v>55</x:v>
      </x:c>
      <x:c r="M75" s="123" t="n">
        <x:f>IF(J75="","",ROUND(J75*'00_Eingabe'!$B$17*(1+'00_Eingabe'!$B$15),0))</x:f>
        <x:v>63</x:v>
      </x:c>
      <x:c r="N75" s="106"/>
      <x:c r="O75" s="106"/>
      <x:c r="P75" s="116"/>
      <x:c r="Q75" s="213" t="n">
        <x:f>IF(C75="Wochenende",1,0)</x:f>
        <x:v>0</x:v>
      </x:c>
      <x:c r="R75" s="213" t="n">
        <x:f>IF(AND(B75&lt;&gt;"Betriebsferien",OR(WEEKDAY(A75,2)=2,WEEKDAY(A75,2)=4)),1,0)</x:f>
        <x:v>1</x:v>
      </x:c>
      <x:c r="S75" s="214" t="n">
        <x:f>R75*MIN(1,'00_Eingabe'!$B$62/'00_Eingabe'!$B$61)</x:f>
        <x:v>0.5</x:v>
      </x:c>
      <x:c r="T75" s="213" t="n">
        <x:f>IF(B75="Betriebsferien",0,IF(B75="Nebensaison",IF(OR(WEEKDAY(A75,2)=1,WEEKDAY(A75,2)=3,WEEKDAY(A75,2)=5),1,0),IF(C75="Unterwoche",1,0)))</x:f>
        <x:v>0</x:v>
      </x:c>
      <x:c r="U75" s="213" t="n">
        <x:f>IF(B75="Betriebsferien",0,'00_Eingabe'!$G$24)</x:f>
        <x:v>8</x:v>
      </x:c>
    </x:row>
    <x:row r="76">
      <x:c r="A76" s="121" t="n">
        <x:f>IF(ROW()-4&lt;DATE('00_Eingabe'!$B$7+1,1,1)-DATE('00_Eingabe'!$B$7,1,1),DATE('00_Eingabe'!$B$7,1,1)+ROW()-4,"")</x:f>
        <x:v>45730</x:v>
      </x:c>
      <x:c r="B76" s="122" t="str">
        <x:f>IF(A76="","",IF(OR(AND(MONTH(A76)=12,DAY(A76)&gt;=20),AND(MONTH(A76)=1,DAY(A76)&lt;=2)),"Weihnachten",IF(OR(AND(MONTH(A76)=11,DAY(A76)&gt;=24),AND(MONTH(A76)=12,DAY(A76)&lt;=7)),"Betriebsferien",IF(OR(AND(MONTH(A76)=1,DAY(A76)&gt;=3),MONTH(A76)=2,MONTH(A76)=3,MONTH(A76)=4,MONTH(A76)=10,MONTH(A76)=11,AND(MONTH(A76)=12,DAY(A76)&lt;=15)),"Nebensaison","Hauptsaison"))))</x:f>
        <x:v>Nebensaison</x:v>
      </x:c>
      <x:c r="C76" s="122" t="str">
        <x:f>IF(A76="","",IF(WEEKDAY(A76,2)&gt;=6,"Wochenende","Unterwoche"))</x:f>
        <x:v>Unterwoche</x:v>
      </x:c>
      <x:c r="D76" s="123" t="n">
        <x:f>IF(A76="","",IF(N76&lt;&gt;"",N76,IF(B76="Nebensaison",IF(C76="Wochenende",'00_Eingabe'!$C$24,'00_Eingabe'!$B$24),IF(B76="Hauptsaison",IF(C76="Wochenende",'00_Eingabe'!$C$25,'00_Eingabe'!$B$25),IF(B76="Weihnachten",IF(C76="Wochenende",'00_Eingabe'!$C$26,'00_Eingabe'!$B$26),IF(C76="Wochenende",'00_Eingabe'!$C$27,'00_Eingabe'!$B$27))))))</x:f>
        <x:v>0.7</x:v>
      </x:c>
      <x:c r="E76" s="122" t="n">
        <x:f>IF(OR(A76="",D76=""),"",ROUND('00_Eingabe'!$B$8*D76,0))</x:f>
        <x:v>25</x:v>
      </x:c>
      <x:c r="F76" s="122" t="n">
        <x:f>IF(E76="","",ROUND(E76*'00_Eingabe'!$B$18,0))</x:f>
        <x:v>48</x:v>
      </x:c>
      <x:c r="G76" s="123" t="n">
        <x:f>IF(A76="","",IF(O76&lt;&gt;"",O76,IF(B76="Nebensaison",IF(C76="Wochenende",'00_Eingabe'!$E$24,'00_Eingabe'!$D$24),IF(B76="Hauptsaison",IF(C76="Wochenende",'00_Eingabe'!$E$25,'00_Eingabe'!$D$25),IF(B76="Weihnachten",IF(C76="Wochenende",'00_Eingabe'!$E$26,'00_Eingabe'!$D$26),IF(C76="Wochenende",'00_Eingabe'!$E$27,'00_Eingabe'!$D$27))))))</x:f>
        <x:v>0.7</x:v>
      </x:c>
      <x:c r="H76" s="122" t="n">
        <x:f>IF(OR(A76="",G76=""),"",ROUND('00_Eingabe'!$B$9*G76,0))</x:f>
        <x:v>3</x:v>
      </x:c>
      <x:c r="I76" s="122" t="n">
        <x:f>IF(H76="","",ROUND(H76*'00_Eingabe'!$B$19,0))</x:f>
        <x:v>7</x:v>
      </x:c>
      <x:c r="J76" s="122" t="n">
        <x:f>IF(OR(F76="",I76=""),"",F76+I76)</x:f>
        <x:v>55</x:v>
      </x:c>
      <x:c r="K76" s="122" t="n">
        <x:f>IF(J76="","",ROUND(J76*'00_Eingabe'!$B$16*(1+'00_Eingabe'!$B$14),0))</x:f>
        <x:v>63</x:v>
      </x:c>
      <x:c r="L76" s="122" t="n">
        <x:f>IF(B76="Betriebsferien",0,ROUND(J76*'00_Eingabe'!$B$40,0)+IF(C76="Wochenende",'00_Eingabe'!$B$42,'00_Eingabe'!$B$41))</x:f>
        <x:v>55</x:v>
      </x:c>
      <x:c r="M76" s="123" t="n">
        <x:f>IF(J76="","",ROUND(J76*'00_Eingabe'!$B$17*(1+'00_Eingabe'!$B$15),0))</x:f>
        <x:v>63</x:v>
      </x:c>
      <x:c r="N76" s="106"/>
      <x:c r="O76" s="106"/>
      <x:c r="P76" s="116"/>
      <x:c r="Q76" s="213" t="n">
        <x:f>IF(C76="Wochenende",1,0)</x:f>
        <x:v>0</x:v>
      </x:c>
      <x:c r="R76" s="213" t="n">
        <x:f>IF(AND(B76&lt;&gt;"Betriebsferien",OR(WEEKDAY(A76,2)=2,WEEKDAY(A76,2)=4)),1,0)</x:f>
        <x:v>0</x:v>
      </x:c>
      <x:c r="S76" s="214" t="n">
        <x:f>R76*MIN(1,'00_Eingabe'!$B$62/'00_Eingabe'!$B$61)</x:f>
        <x:v>0</x:v>
      </x:c>
      <x:c r="T76" s="213" t="n">
        <x:f>IF(B76="Betriebsferien",0,IF(B76="Nebensaison",IF(OR(WEEKDAY(A76,2)=1,WEEKDAY(A76,2)=3,WEEKDAY(A76,2)=5),1,0),IF(C76="Unterwoche",1,0)))</x:f>
        <x:v>1</x:v>
      </x:c>
      <x:c r="U76" s="213" t="n">
        <x:f>IF(B76="Betriebsferien",0,'00_Eingabe'!$G$24)</x:f>
        <x:v>8</x:v>
      </x:c>
    </x:row>
    <x:row r="77">
      <x:c r="A77" s="121" t="n">
        <x:f>IF(ROW()-4&lt;DATE('00_Eingabe'!$B$7+1,1,1)-DATE('00_Eingabe'!$B$7,1,1),DATE('00_Eingabe'!$B$7,1,1)+ROW()-4,"")</x:f>
        <x:v>45731</x:v>
      </x:c>
      <x:c r="B77" s="122" t="str">
        <x:f>IF(A77="","",IF(OR(AND(MONTH(A77)=12,DAY(A77)&gt;=20),AND(MONTH(A77)=1,DAY(A77)&lt;=2)),"Weihnachten",IF(OR(AND(MONTH(A77)=11,DAY(A77)&gt;=24),AND(MONTH(A77)=12,DAY(A77)&lt;=7)),"Betriebsferien",IF(OR(AND(MONTH(A77)=1,DAY(A77)&gt;=3),MONTH(A77)=2,MONTH(A77)=3,MONTH(A77)=4,MONTH(A77)=10,MONTH(A77)=11,AND(MONTH(A77)=12,DAY(A77)&lt;=15)),"Nebensaison","Hauptsaison"))))</x:f>
        <x:v>Nebensaison</x:v>
      </x:c>
      <x:c r="C77" s="122" t="str">
        <x:f>IF(A77="","",IF(WEEKDAY(A77,2)&gt;=6,"Wochenende","Unterwoche"))</x:f>
        <x:v>Wochenende</x:v>
      </x:c>
      <x:c r="D77" s="123" t="n">
        <x:f>IF(A77="","",IF(N77&lt;&gt;"",N77,IF(B77="Nebensaison",IF(C77="Wochenende",'00_Eingabe'!$C$24,'00_Eingabe'!$B$24),IF(B77="Hauptsaison",IF(C77="Wochenende",'00_Eingabe'!$C$25,'00_Eingabe'!$B$25),IF(B77="Weihnachten",IF(C77="Wochenende",'00_Eingabe'!$C$26,'00_Eingabe'!$B$26),IF(C77="Wochenende",'00_Eingabe'!$C$27,'00_Eingabe'!$B$27))))))</x:f>
        <x:v>0.75</x:v>
      </x:c>
      <x:c r="E77" s="122" t="n">
        <x:f>IF(OR(A77="",D77=""),"",ROUND('00_Eingabe'!$B$8*D77,0))</x:f>
        <x:v>26</x:v>
      </x:c>
      <x:c r="F77" s="122" t="n">
        <x:f>IF(E77="","",ROUND(E77*'00_Eingabe'!$B$18,0))</x:f>
        <x:v>49</x:v>
      </x:c>
      <x:c r="G77" s="123" t="n">
        <x:f>IF(A77="","",IF(O77&lt;&gt;"",O77,IF(B77="Nebensaison",IF(C77="Wochenende",'00_Eingabe'!$E$24,'00_Eingabe'!$D$24),IF(B77="Hauptsaison",IF(C77="Wochenende",'00_Eingabe'!$E$25,'00_Eingabe'!$D$25),IF(B77="Weihnachten",IF(C77="Wochenende",'00_Eingabe'!$E$26,'00_Eingabe'!$D$26),IF(C77="Wochenende",'00_Eingabe'!$E$27,'00_Eingabe'!$D$27))))))</x:f>
        <x:v>0.75</x:v>
      </x:c>
      <x:c r="H77" s="122" t="n">
        <x:f>IF(OR(A77="",G77=""),"",ROUND('00_Eingabe'!$B$9*G77,0))</x:f>
        <x:v>3</x:v>
      </x:c>
      <x:c r="I77" s="122" t="n">
        <x:f>IF(H77="","",ROUND(H77*'00_Eingabe'!$B$19,0))</x:f>
        <x:v>7</x:v>
      </x:c>
      <x:c r="J77" s="122" t="n">
        <x:f>IF(OR(F77="",I77=""),"",F77+I77)</x:f>
        <x:v>56</x:v>
      </x:c>
      <x:c r="K77" s="122" t="n">
        <x:f>IF(J77="","",ROUND(J77*'00_Eingabe'!$B$16*(1+'00_Eingabe'!$B$14),0))</x:f>
        <x:v>64</x:v>
      </x:c>
      <x:c r="L77" s="122" t="n">
        <x:f>IF(B77="Betriebsferien",0,ROUND(J77*'00_Eingabe'!$B$40,0)+IF(C77="Wochenende",'00_Eingabe'!$B$42,'00_Eingabe'!$B$41))</x:f>
        <x:v>80</x:v>
      </x:c>
      <x:c r="M77" s="123" t="n">
        <x:f>IF(J77="","",ROUND(J77*'00_Eingabe'!$B$17*(1+'00_Eingabe'!$B$15),0))</x:f>
        <x:v>64</x:v>
      </x:c>
      <x:c r="N77" s="106"/>
      <x:c r="O77" s="106"/>
      <x:c r="P77" s="116"/>
      <x:c r="Q77" s="213" t="n">
        <x:f>IF(C77="Wochenende",1,0)</x:f>
        <x:v>1</x:v>
      </x:c>
      <x:c r="R77" s="213" t="n">
        <x:f>IF(AND(B77&lt;&gt;"Betriebsferien",OR(WEEKDAY(A77,2)=2,WEEKDAY(A77,2)=4)),1,0)</x:f>
        <x:v>0</x:v>
      </x:c>
      <x:c r="S77" s="214" t="n">
        <x:f>R77*MIN(1,'00_Eingabe'!$B$62/'00_Eingabe'!$B$61)</x:f>
        <x:v>0</x:v>
      </x:c>
      <x:c r="T77" s="213" t="n">
        <x:f>IF(B77="Betriebsferien",0,IF(B77="Nebensaison",IF(OR(WEEKDAY(A77,2)=1,WEEKDAY(A77,2)=3,WEEKDAY(A77,2)=5),1,0),IF(C77="Unterwoche",1,0)))</x:f>
        <x:v>0</x:v>
      </x:c>
      <x:c r="U77" s="213" t="n">
        <x:f>IF(B77="Betriebsferien",0,'00_Eingabe'!$G$24)</x:f>
        <x:v>8</x:v>
      </x:c>
    </x:row>
    <x:row r="78">
      <x:c r="A78" s="121" t="n">
        <x:f>IF(ROW()-4&lt;DATE('00_Eingabe'!$B$7+1,1,1)-DATE('00_Eingabe'!$B$7,1,1),DATE('00_Eingabe'!$B$7,1,1)+ROW()-4,"")</x:f>
        <x:v>45732</x:v>
      </x:c>
      <x:c r="B78" s="122" t="str">
        <x:f>IF(A78="","",IF(OR(AND(MONTH(A78)=12,DAY(A78)&gt;=20),AND(MONTH(A78)=1,DAY(A78)&lt;=2)),"Weihnachten",IF(OR(AND(MONTH(A78)=11,DAY(A78)&gt;=24),AND(MONTH(A78)=12,DAY(A78)&lt;=7)),"Betriebsferien",IF(OR(AND(MONTH(A78)=1,DAY(A78)&gt;=3),MONTH(A78)=2,MONTH(A78)=3,MONTH(A78)=4,MONTH(A78)=10,MONTH(A78)=11,AND(MONTH(A78)=12,DAY(A78)&lt;=15)),"Nebensaison","Hauptsaison"))))</x:f>
        <x:v>Nebensaison</x:v>
      </x:c>
      <x:c r="C78" s="122" t="str">
        <x:f>IF(A78="","",IF(WEEKDAY(A78,2)&gt;=6,"Wochenende","Unterwoche"))</x:f>
        <x:v>Wochenende</x:v>
      </x:c>
      <x:c r="D78" s="123" t="n">
        <x:f>IF(A78="","",IF(N78&lt;&gt;"",N78,IF(B78="Nebensaison",IF(C78="Wochenende",'00_Eingabe'!$C$24,'00_Eingabe'!$B$24),IF(B78="Hauptsaison",IF(C78="Wochenende",'00_Eingabe'!$C$25,'00_Eingabe'!$B$25),IF(B78="Weihnachten",IF(C78="Wochenende",'00_Eingabe'!$C$26,'00_Eingabe'!$B$26),IF(C78="Wochenende",'00_Eingabe'!$C$27,'00_Eingabe'!$B$27))))))</x:f>
        <x:v>0.75</x:v>
      </x:c>
      <x:c r="E78" s="122" t="n">
        <x:f>IF(OR(A78="",D78=""),"",ROUND('00_Eingabe'!$B$8*D78,0))</x:f>
        <x:v>26</x:v>
      </x:c>
      <x:c r="F78" s="122" t="n">
        <x:f>IF(E78="","",ROUND(E78*'00_Eingabe'!$B$18,0))</x:f>
        <x:v>49</x:v>
      </x:c>
      <x:c r="G78" s="123" t="n">
        <x:f>IF(A78="","",IF(O78&lt;&gt;"",O78,IF(B78="Nebensaison",IF(C78="Wochenende",'00_Eingabe'!$E$24,'00_Eingabe'!$D$24),IF(B78="Hauptsaison",IF(C78="Wochenende",'00_Eingabe'!$E$25,'00_Eingabe'!$D$25),IF(B78="Weihnachten",IF(C78="Wochenende",'00_Eingabe'!$E$26,'00_Eingabe'!$D$26),IF(C78="Wochenende",'00_Eingabe'!$E$27,'00_Eingabe'!$D$27))))))</x:f>
        <x:v>0.75</x:v>
      </x:c>
      <x:c r="H78" s="122" t="n">
        <x:f>IF(OR(A78="",G78=""),"",ROUND('00_Eingabe'!$B$9*G78,0))</x:f>
        <x:v>3</x:v>
      </x:c>
      <x:c r="I78" s="122" t="n">
        <x:f>IF(H78="","",ROUND(H78*'00_Eingabe'!$B$19,0))</x:f>
        <x:v>7</x:v>
      </x:c>
      <x:c r="J78" s="122" t="n">
        <x:f>IF(OR(F78="",I78=""),"",F78+I78)</x:f>
        <x:v>56</x:v>
      </x:c>
      <x:c r="K78" s="122" t="n">
        <x:f>IF(J78="","",ROUND(J78*'00_Eingabe'!$B$16*(1+'00_Eingabe'!$B$14),0))</x:f>
        <x:v>64</x:v>
      </x:c>
      <x:c r="L78" s="122" t="n">
        <x:f>IF(B78="Betriebsferien",0,ROUND(J78*'00_Eingabe'!$B$40,0)+IF(C78="Wochenende",'00_Eingabe'!$B$42,'00_Eingabe'!$B$41))</x:f>
        <x:v>80</x:v>
      </x:c>
      <x:c r="M78" s="123" t="n">
        <x:f>IF(J78="","",ROUND(J78*'00_Eingabe'!$B$17*(1+'00_Eingabe'!$B$15),0))</x:f>
        <x:v>64</x:v>
      </x:c>
      <x:c r="N78" s="106"/>
      <x:c r="O78" s="106"/>
      <x:c r="P78" s="116"/>
      <x:c r="Q78" s="213" t="n">
        <x:f>IF(C78="Wochenende",1,0)</x:f>
        <x:v>1</x:v>
      </x:c>
      <x:c r="R78" s="213" t="n">
        <x:f>IF(AND(B78&lt;&gt;"Betriebsferien",OR(WEEKDAY(A78,2)=2,WEEKDAY(A78,2)=4)),1,0)</x:f>
        <x:v>0</x:v>
      </x:c>
      <x:c r="S78" s="214" t="n">
        <x:f>R78*MIN(1,'00_Eingabe'!$B$62/'00_Eingabe'!$B$61)</x:f>
        <x:v>0</x:v>
      </x:c>
      <x:c r="T78" s="213" t="n">
        <x:f>IF(B78="Betriebsferien",0,IF(B78="Nebensaison",IF(OR(WEEKDAY(A78,2)=1,WEEKDAY(A78,2)=3,WEEKDAY(A78,2)=5),1,0),IF(C78="Unterwoche",1,0)))</x:f>
        <x:v>0</x:v>
      </x:c>
      <x:c r="U78" s="213" t="n">
        <x:f>IF(B78="Betriebsferien",0,'00_Eingabe'!$G$24)</x:f>
        <x:v>8</x:v>
      </x:c>
    </x:row>
    <x:row r="79">
      <x:c r="A79" s="121" t="n">
        <x:f>IF(ROW()-4&lt;DATE('00_Eingabe'!$B$7+1,1,1)-DATE('00_Eingabe'!$B$7,1,1),DATE('00_Eingabe'!$B$7,1,1)+ROW()-4,"")</x:f>
        <x:v>45733</x:v>
      </x:c>
      <x:c r="B79" s="122" t="str">
        <x:f>IF(A79="","",IF(OR(AND(MONTH(A79)=12,DAY(A79)&gt;=20),AND(MONTH(A79)=1,DAY(A79)&lt;=2)),"Weihnachten",IF(OR(AND(MONTH(A79)=11,DAY(A79)&gt;=24),AND(MONTH(A79)=12,DAY(A79)&lt;=7)),"Betriebsferien",IF(OR(AND(MONTH(A79)=1,DAY(A79)&gt;=3),MONTH(A79)=2,MONTH(A79)=3,MONTH(A79)=4,MONTH(A79)=10,MONTH(A79)=11,AND(MONTH(A79)=12,DAY(A79)&lt;=15)),"Nebensaison","Hauptsaison"))))</x:f>
        <x:v>Nebensaison</x:v>
      </x:c>
      <x:c r="C79" s="122" t="str">
        <x:f>IF(A79="","",IF(WEEKDAY(A79,2)&gt;=6,"Wochenende","Unterwoche"))</x:f>
        <x:v>Unterwoche</x:v>
      </x:c>
      <x:c r="D79" s="123" t="n">
        <x:f>IF(A79="","",IF(N79&lt;&gt;"",N79,IF(B79="Nebensaison",IF(C79="Wochenende",'00_Eingabe'!$C$24,'00_Eingabe'!$B$24),IF(B79="Hauptsaison",IF(C79="Wochenende",'00_Eingabe'!$C$25,'00_Eingabe'!$B$25),IF(B79="Weihnachten",IF(C79="Wochenende",'00_Eingabe'!$C$26,'00_Eingabe'!$B$26),IF(C79="Wochenende",'00_Eingabe'!$C$27,'00_Eingabe'!$B$27))))))</x:f>
        <x:v>0.7</x:v>
      </x:c>
      <x:c r="E79" s="122" t="n">
        <x:f>IF(OR(A79="",D79=""),"",ROUND('00_Eingabe'!$B$8*D79,0))</x:f>
        <x:v>25</x:v>
      </x:c>
      <x:c r="F79" s="122" t="n">
        <x:f>IF(E79="","",ROUND(E79*'00_Eingabe'!$B$18,0))</x:f>
        <x:v>48</x:v>
      </x:c>
      <x:c r="G79" s="123" t="n">
        <x:f>IF(A79="","",IF(O79&lt;&gt;"",O79,IF(B79="Nebensaison",IF(C79="Wochenende",'00_Eingabe'!$E$24,'00_Eingabe'!$D$24),IF(B79="Hauptsaison",IF(C79="Wochenende",'00_Eingabe'!$E$25,'00_Eingabe'!$D$25),IF(B79="Weihnachten",IF(C79="Wochenende",'00_Eingabe'!$E$26,'00_Eingabe'!$D$26),IF(C79="Wochenende",'00_Eingabe'!$E$27,'00_Eingabe'!$D$27))))))</x:f>
        <x:v>0.7</x:v>
      </x:c>
      <x:c r="H79" s="122" t="n">
        <x:f>IF(OR(A79="",G79=""),"",ROUND('00_Eingabe'!$B$9*G79,0))</x:f>
        <x:v>3</x:v>
      </x:c>
      <x:c r="I79" s="122" t="n">
        <x:f>IF(H79="","",ROUND(H79*'00_Eingabe'!$B$19,0))</x:f>
        <x:v>7</x:v>
      </x:c>
      <x:c r="J79" s="122" t="n">
        <x:f>IF(OR(F79="",I79=""),"",F79+I79)</x:f>
        <x:v>55</x:v>
      </x:c>
      <x:c r="K79" s="122" t="n">
        <x:f>IF(J79="","",ROUND(J79*'00_Eingabe'!$B$16*(1+'00_Eingabe'!$B$14),0))</x:f>
        <x:v>63</x:v>
      </x:c>
      <x:c r="L79" s="122" t="n">
        <x:f>IF(B79="Betriebsferien",0,ROUND(J79*'00_Eingabe'!$B$40,0)+IF(C79="Wochenende",'00_Eingabe'!$B$42,'00_Eingabe'!$B$41))</x:f>
        <x:v>55</x:v>
      </x:c>
      <x:c r="M79" s="123" t="n">
        <x:f>IF(J79="","",ROUND(J79*'00_Eingabe'!$B$17*(1+'00_Eingabe'!$B$15),0))</x:f>
        <x:v>63</x:v>
      </x:c>
      <x:c r="N79" s="106"/>
      <x:c r="O79" s="106"/>
      <x:c r="P79" s="116"/>
      <x:c r="Q79" s="213" t="n">
        <x:f>IF(C79="Wochenende",1,0)</x:f>
        <x:v>0</x:v>
      </x:c>
      <x:c r="R79" s="213" t="n">
        <x:f>IF(AND(B79&lt;&gt;"Betriebsferien",OR(WEEKDAY(A79,2)=2,WEEKDAY(A79,2)=4)),1,0)</x:f>
        <x:v>0</x:v>
      </x:c>
      <x:c r="S79" s="214" t="n">
        <x:f>R79*MIN(1,'00_Eingabe'!$B$62/'00_Eingabe'!$B$61)</x:f>
        <x:v>0</x:v>
      </x:c>
      <x:c r="T79" s="213" t="n">
        <x:f>IF(B79="Betriebsferien",0,IF(B79="Nebensaison",IF(OR(WEEKDAY(A79,2)=1,WEEKDAY(A79,2)=3,WEEKDAY(A79,2)=5),1,0),IF(C79="Unterwoche",1,0)))</x:f>
        <x:v>1</x:v>
      </x:c>
      <x:c r="U79" s="213" t="n">
        <x:f>IF(B79="Betriebsferien",0,'00_Eingabe'!$G$24)</x:f>
        <x:v>8</x:v>
      </x:c>
    </x:row>
    <x:row r="80">
      <x:c r="A80" s="121" t="n">
        <x:f>IF(ROW()-4&lt;DATE('00_Eingabe'!$B$7+1,1,1)-DATE('00_Eingabe'!$B$7,1,1),DATE('00_Eingabe'!$B$7,1,1)+ROW()-4,"")</x:f>
        <x:v>45734</x:v>
      </x:c>
      <x:c r="B80" s="122" t="str">
        <x:f>IF(A80="","",IF(OR(AND(MONTH(A80)=12,DAY(A80)&gt;=20),AND(MONTH(A80)=1,DAY(A80)&lt;=2)),"Weihnachten",IF(OR(AND(MONTH(A80)=11,DAY(A80)&gt;=24),AND(MONTH(A80)=12,DAY(A80)&lt;=7)),"Betriebsferien",IF(OR(AND(MONTH(A80)=1,DAY(A80)&gt;=3),MONTH(A80)=2,MONTH(A80)=3,MONTH(A80)=4,MONTH(A80)=10,MONTH(A80)=11,AND(MONTH(A80)=12,DAY(A80)&lt;=15)),"Nebensaison","Hauptsaison"))))</x:f>
        <x:v>Nebensaison</x:v>
      </x:c>
      <x:c r="C80" s="122" t="str">
        <x:f>IF(A80="","",IF(WEEKDAY(A80,2)&gt;=6,"Wochenende","Unterwoche"))</x:f>
        <x:v>Unterwoche</x:v>
      </x:c>
      <x:c r="D80" s="123" t="n">
        <x:f>IF(A80="","",IF(N80&lt;&gt;"",N80,IF(B80="Nebensaison",IF(C80="Wochenende",'00_Eingabe'!$C$24,'00_Eingabe'!$B$24),IF(B80="Hauptsaison",IF(C80="Wochenende",'00_Eingabe'!$C$25,'00_Eingabe'!$B$25),IF(B80="Weihnachten",IF(C80="Wochenende",'00_Eingabe'!$C$26,'00_Eingabe'!$B$26),IF(C80="Wochenende",'00_Eingabe'!$C$27,'00_Eingabe'!$B$27))))))</x:f>
        <x:v>0.7</x:v>
      </x:c>
      <x:c r="E80" s="122" t="n">
        <x:f>IF(OR(A80="",D80=""),"",ROUND('00_Eingabe'!$B$8*D80,0))</x:f>
        <x:v>25</x:v>
      </x:c>
      <x:c r="F80" s="122" t="n">
        <x:f>IF(E80="","",ROUND(E80*'00_Eingabe'!$B$18,0))</x:f>
        <x:v>48</x:v>
      </x:c>
      <x:c r="G80" s="123" t="n">
        <x:f>IF(A80="","",IF(O80&lt;&gt;"",O80,IF(B80="Nebensaison",IF(C80="Wochenende",'00_Eingabe'!$E$24,'00_Eingabe'!$D$24),IF(B80="Hauptsaison",IF(C80="Wochenende",'00_Eingabe'!$E$25,'00_Eingabe'!$D$25),IF(B80="Weihnachten",IF(C80="Wochenende",'00_Eingabe'!$E$26,'00_Eingabe'!$D$26),IF(C80="Wochenende",'00_Eingabe'!$E$27,'00_Eingabe'!$D$27))))))</x:f>
        <x:v>0.7</x:v>
      </x:c>
      <x:c r="H80" s="122" t="n">
        <x:f>IF(OR(A80="",G80=""),"",ROUND('00_Eingabe'!$B$9*G80,0))</x:f>
        <x:v>3</x:v>
      </x:c>
      <x:c r="I80" s="122" t="n">
        <x:f>IF(H80="","",ROUND(H80*'00_Eingabe'!$B$19,0))</x:f>
        <x:v>7</x:v>
      </x:c>
      <x:c r="J80" s="122" t="n">
        <x:f>IF(OR(F80="",I80=""),"",F80+I80)</x:f>
        <x:v>55</x:v>
      </x:c>
      <x:c r="K80" s="122" t="n">
        <x:f>IF(J80="","",ROUND(J80*'00_Eingabe'!$B$16*(1+'00_Eingabe'!$B$14),0))</x:f>
        <x:v>63</x:v>
      </x:c>
      <x:c r="L80" s="122" t="n">
        <x:f>IF(B80="Betriebsferien",0,ROUND(J80*'00_Eingabe'!$B$40,0)+IF(C80="Wochenende",'00_Eingabe'!$B$42,'00_Eingabe'!$B$41))</x:f>
        <x:v>55</x:v>
      </x:c>
      <x:c r="M80" s="123" t="n">
        <x:f>IF(J80="","",ROUND(J80*'00_Eingabe'!$B$17*(1+'00_Eingabe'!$B$15),0))</x:f>
        <x:v>63</x:v>
      </x:c>
      <x:c r="N80" s="106"/>
      <x:c r="O80" s="106"/>
      <x:c r="P80" s="116"/>
      <x:c r="Q80" s="213" t="n">
        <x:f>IF(C80="Wochenende",1,0)</x:f>
        <x:v>0</x:v>
      </x:c>
      <x:c r="R80" s="213" t="n">
        <x:f>IF(AND(B80&lt;&gt;"Betriebsferien",OR(WEEKDAY(A80,2)=2,WEEKDAY(A80,2)=4)),1,0)</x:f>
        <x:v>1</x:v>
      </x:c>
      <x:c r="S80" s="214" t="n">
        <x:f>R80*MIN(1,'00_Eingabe'!$B$62/'00_Eingabe'!$B$61)</x:f>
        <x:v>0.5</x:v>
      </x:c>
      <x:c r="T80" s="213" t="n">
        <x:f>IF(B80="Betriebsferien",0,IF(B80="Nebensaison",IF(OR(WEEKDAY(A80,2)=1,WEEKDAY(A80,2)=3,WEEKDAY(A80,2)=5),1,0),IF(C80="Unterwoche",1,0)))</x:f>
        <x:v>0</x:v>
      </x:c>
      <x:c r="U80" s="213" t="n">
        <x:f>IF(B80="Betriebsferien",0,'00_Eingabe'!$G$24)</x:f>
        <x:v>8</x:v>
      </x:c>
    </x:row>
    <x:row r="81">
      <x:c r="A81" s="121" t="n">
        <x:f>IF(ROW()-4&lt;DATE('00_Eingabe'!$B$7+1,1,1)-DATE('00_Eingabe'!$B$7,1,1),DATE('00_Eingabe'!$B$7,1,1)+ROW()-4,"")</x:f>
        <x:v>45735</x:v>
      </x:c>
      <x:c r="B81" s="122" t="str">
        <x:f>IF(A81="","",IF(OR(AND(MONTH(A81)=12,DAY(A81)&gt;=20),AND(MONTH(A81)=1,DAY(A81)&lt;=2)),"Weihnachten",IF(OR(AND(MONTH(A81)=11,DAY(A81)&gt;=24),AND(MONTH(A81)=12,DAY(A81)&lt;=7)),"Betriebsferien",IF(OR(AND(MONTH(A81)=1,DAY(A81)&gt;=3),MONTH(A81)=2,MONTH(A81)=3,MONTH(A81)=4,MONTH(A81)=10,MONTH(A81)=11,AND(MONTH(A81)=12,DAY(A81)&lt;=15)),"Nebensaison","Hauptsaison"))))</x:f>
        <x:v>Nebensaison</x:v>
      </x:c>
      <x:c r="C81" s="122" t="str">
        <x:f>IF(A81="","",IF(WEEKDAY(A81,2)&gt;=6,"Wochenende","Unterwoche"))</x:f>
        <x:v>Unterwoche</x:v>
      </x:c>
      <x:c r="D81" s="123" t="n">
        <x:f>IF(A81="","",IF(N81&lt;&gt;"",N81,IF(B81="Nebensaison",IF(C81="Wochenende",'00_Eingabe'!$C$24,'00_Eingabe'!$B$24),IF(B81="Hauptsaison",IF(C81="Wochenende",'00_Eingabe'!$C$25,'00_Eingabe'!$B$25),IF(B81="Weihnachten",IF(C81="Wochenende",'00_Eingabe'!$C$26,'00_Eingabe'!$B$26),IF(C81="Wochenende",'00_Eingabe'!$C$27,'00_Eingabe'!$B$27))))))</x:f>
        <x:v>0.7</x:v>
      </x:c>
      <x:c r="E81" s="122" t="n">
        <x:f>IF(OR(A81="",D81=""),"",ROUND('00_Eingabe'!$B$8*D81,0))</x:f>
        <x:v>25</x:v>
      </x:c>
      <x:c r="F81" s="122" t="n">
        <x:f>IF(E81="","",ROUND(E81*'00_Eingabe'!$B$18,0))</x:f>
        <x:v>48</x:v>
      </x:c>
      <x:c r="G81" s="123" t="n">
        <x:f>IF(A81="","",IF(O81&lt;&gt;"",O81,IF(B81="Nebensaison",IF(C81="Wochenende",'00_Eingabe'!$E$24,'00_Eingabe'!$D$24),IF(B81="Hauptsaison",IF(C81="Wochenende",'00_Eingabe'!$E$25,'00_Eingabe'!$D$25),IF(B81="Weihnachten",IF(C81="Wochenende",'00_Eingabe'!$E$26,'00_Eingabe'!$D$26),IF(C81="Wochenende",'00_Eingabe'!$E$27,'00_Eingabe'!$D$27))))))</x:f>
        <x:v>0.7</x:v>
      </x:c>
      <x:c r="H81" s="122" t="n">
        <x:f>IF(OR(A81="",G81=""),"",ROUND('00_Eingabe'!$B$9*G81,0))</x:f>
        <x:v>3</x:v>
      </x:c>
      <x:c r="I81" s="122" t="n">
        <x:f>IF(H81="","",ROUND(H81*'00_Eingabe'!$B$19,0))</x:f>
        <x:v>7</x:v>
      </x:c>
      <x:c r="J81" s="122" t="n">
        <x:f>IF(OR(F81="",I81=""),"",F81+I81)</x:f>
        <x:v>55</x:v>
      </x:c>
      <x:c r="K81" s="122" t="n">
        <x:f>IF(J81="","",ROUND(J81*'00_Eingabe'!$B$16*(1+'00_Eingabe'!$B$14),0))</x:f>
        <x:v>63</x:v>
      </x:c>
      <x:c r="L81" s="122" t="n">
        <x:f>IF(B81="Betriebsferien",0,ROUND(J81*'00_Eingabe'!$B$40,0)+IF(C81="Wochenende",'00_Eingabe'!$B$42,'00_Eingabe'!$B$41))</x:f>
        <x:v>55</x:v>
      </x:c>
      <x:c r="M81" s="123" t="n">
        <x:f>IF(J81="","",ROUND(J81*'00_Eingabe'!$B$17*(1+'00_Eingabe'!$B$15),0))</x:f>
        <x:v>63</x:v>
      </x:c>
      <x:c r="N81" s="106"/>
      <x:c r="O81" s="106"/>
      <x:c r="P81" s="116"/>
      <x:c r="Q81" s="213" t="n">
        <x:f>IF(C81="Wochenende",1,0)</x:f>
        <x:v>0</x:v>
      </x:c>
      <x:c r="R81" s="213" t="n">
        <x:f>IF(AND(B81&lt;&gt;"Betriebsferien",OR(WEEKDAY(A81,2)=2,WEEKDAY(A81,2)=4)),1,0)</x:f>
        <x:v>0</x:v>
      </x:c>
      <x:c r="S81" s="214" t="n">
        <x:f>R81*MIN(1,'00_Eingabe'!$B$62/'00_Eingabe'!$B$61)</x:f>
        <x:v>0</x:v>
      </x:c>
      <x:c r="T81" s="213" t="n">
        <x:f>IF(B81="Betriebsferien",0,IF(B81="Nebensaison",IF(OR(WEEKDAY(A81,2)=1,WEEKDAY(A81,2)=3,WEEKDAY(A81,2)=5),1,0),IF(C81="Unterwoche",1,0)))</x:f>
        <x:v>1</x:v>
      </x:c>
      <x:c r="U81" s="213" t="n">
        <x:f>IF(B81="Betriebsferien",0,'00_Eingabe'!$G$24)</x:f>
        <x:v>8</x:v>
      </x:c>
    </x:row>
    <x:row r="82">
      <x:c r="A82" s="121" t="n">
        <x:f>IF(ROW()-4&lt;DATE('00_Eingabe'!$B$7+1,1,1)-DATE('00_Eingabe'!$B$7,1,1),DATE('00_Eingabe'!$B$7,1,1)+ROW()-4,"")</x:f>
        <x:v>45736</x:v>
      </x:c>
      <x:c r="B82" s="122" t="str">
        <x:f>IF(A82="","",IF(OR(AND(MONTH(A82)=12,DAY(A82)&gt;=20),AND(MONTH(A82)=1,DAY(A82)&lt;=2)),"Weihnachten",IF(OR(AND(MONTH(A82)=11,DAY(A82)&gt;=24),AND(MONTH(A82)=12,DAY(A82)&lt;=7)),"Betriebsferien",IF(OR(AND(MONTH(A82)=1,DAY(A82)&gt;=3),MONTH(A82)=2,MONTH(A82)=3,MONTH(A82)=4,MONTH(A82)=10,MONTH(A82)=11,AND(MONTH(A82)=12,DAY(A82)&lt;=15)),"Nebensaison","Hauptsaison"))))</x:f>
        <x:v>Nebensaison</x:v>
      </x:c>
      <x:c r="C82" s="122" t="str">
        <x:f>IF(A82="","",IF(WEEKDAY(A82,2)&gt;=6,"Wochenende","Unterwoche"))</x:f>
        <x:v>Unterwoche</x:v>
      </x:c>
      <x:c r="D82" s="123" t="n">
        <x:f>IF(A82="","",IF(N82&lt;&gt;"",N82,IF(B82="Nebensaison",IF(C82="Wochenende",'00_Eingabe'!$C$24,'00_Eingabe'!$B$24),IF(B82="Hauptsaison",IF(C82="Wochenende",'00_Eingabe'!$C$25,'00_Eingabe'!$B$25),IF(B82="Weihnachten",IF(C82="Wochenende",'00_Eingabe'!$C$26,'00_Eingabe'!$B$26),IF(C82="Wochenende",'00_Eingabe'!$C$27,'00_Eingabe'!$B$27))))))</x:f>
        <x:v>0.7</x:v>
      </x:c>
      <x:c r="E82" s="122" t="n">
        <x:f>IF(OR(A82="",D82=""),"",ROUND('00_Eingabe'!$B$8*D82,0))</x:f>
        <x:v>25</x:v>
      </x:c>
      <x:c r="F82" s="122" t="n">
        <x:f>IF(E82="","",ROUND(E82*'00_Eingabe'!$B$18,0))</x:f>
        <x:v>48</x:v>
      </x:c>
      <x:c r="G82" s="123" t="n">
        <x:f>IF(A82="","",IF(O82&lt;&gt;"",O82,IF(B82="Nebensaison",IF(C82="Wochenende",'00_Eingabe'!$E$24,'00_Eingabe'!$D$24),IF(B82="Hauptsaison",IF(C82="Wochenende",'00_Eingabe'!$E$25,'00_Eingabe'!$D$25),IF(B82="Weihnachten",IF(C82="Wochenende",'00_Eingabe'!$E$26,'00_Eingabe'!$D$26),IF(C82="Wochenende",'00_Eingabe'!$E$27,'00_Eingabe'!$D$27))))))</x:f>
        <x:v>0.7</x:v>
      </x:c>
      <x:c r="H82" s="122" t="n">
        <x:f>IF(OR(A82="",G82=""),"",ROUND('00_Eingabe'!$B$9*G82,0))</x:f>
        <x:v>3</x:v>
      </x:c>
      <x:c r="I82" s="122" t="n">
        <x:f>IF(H82="","",ROUND(H82*'00_Eingabe'!$B$19,0))</x:f>
        <x:v>7</x:v>
      </x:c>
      <x:c r="J82" s="122" t="n">
        <x:f>IF(OR(F82="",I82=""),"",F82+I82)</x:f>
        <x:v>55</x:v>
      </x:c>
      <x:c r="K82" s="122" t="n">
        <x:f>IF(J82="","",ROUND(J82*'00_Eingabe'!$B$16*(1+'00_Eingabe'!$B$14),0))</x:f>
        <x:v>63</x:v>
      </x:c>
      <x:c r="L82" s="122" t="n">
        <x:f>IF(B82="Betriebsferien",0,ROUND(J82*'00_Eingabe'!$B$40,0)+IF(C82="Wochenende",'00_Eingabe'!$B$42,'00_Eingabe'!$B$41))</x:f>
        <x:v>55</x:v>
      </x:c>
      <x:c r="M82" s="123" t="n">
        <x:f>IF(J82="","",ROUND(J82*'00_Eingabe'!$B$17*(1+'00_Eingabe'!$B$15),0))</x:f>
        <x:v>63</x:v>
      </x:c>
      <x:c r="N82" s="106"/>
      <x:c r="O82" s="106"/>
      <x:c r="P82" s="116"/>
      <x:c r="Q82" s="213" t="n">
        <x:f>IF(C82="Wochenende",1,0)</x:f>
        <x:v>0</x:v>
      </x:c>
      <x:c r="R82" s="213" t="n">
        <x:f>IF(AND(B82&lt;&gt;"Betriebsferien",OR(WEEKDAY(A82,2)=2,WEEKDAY(A82,2)=4)),1,0)</x:f>
        <x:v>1</x:v>
      </x:c>
      <x:c r="S82" s="214" t="n">
        <x:f>R82*MIN(1,'00_Eingabe'!$B$62/'00_Eingabe'!$B$61)</x:f>
        <x:v>0.5</x:v>
      </x:c>
      <x:c r="T82" s="213" t="n">
        <x:f>IF(B82="Betriebsferien",0,IF(B82="Nebensaison",IF(OR(WEEKDAY(A82,2)=1,WEEKDAY(A82,2)=3,WEEKDAY(A82,2)=5),1,0),IF(C82="Unterwoche",1,0)))</x:f>
        <x:v>0</x:v>
      </x:c>
      <x:c r="U82" s="213" t="n">
        <x:f>IF(B82="Betriebsferien",0,'00_Eingabe'!$G$24)</x:f>
        <x:v>8</x:v>
      </x:c>
    </x:row>
    <x:row r="83">
      <x:c r="A83" s="121" t="n">
        <x:f>IF(ROW()-4&lt;DATE('00_Eingabe'!$B$7+1,1,1)-DATE('00_Eingabe'!$B$7,1,1),DATE('00_Eingabe'!$B$7,1,1)+ROW()-4,"")</x:f>
        <x:v>45737</x:v>
      </x:c>
      <x:c r="B83" s="122" t="str">
        <x:f>IF(A83="","",IF(OR(AND(MONTH(A83)=12,DAY(A83)&gt;=20),AND(MONTH(A83)=1,DAY(A83)&lt;=2)),"Weihnachten",IF(OR(AND(MONTH(A83)=11,DAY(A83)&gt;=24),AND(MONTH(A83)=12,DAY(A83)&lt;=7)),"Betriebsferien",IF(OR(AND(MONTH(A83)=1,DAY(A83)&gt;=3),MONTH(A83)=2,MONTH(A83)=3,MONTH(A83)=4,MONTH(A83)=10,MONTH(A83)=11,AND(MONTH(A83)=12,DAY(A83)&lt;=15)),"Nebensaison","Hauptsaison"))))</x:f>
        <x:v>Nebensaison</x:v>
      </x:c>
      <x:c r="C83" s="122" t="str">
        <x:f>IF(A83="","",IF(WEEKDAY(A83,2)&gt;=6,"Wochenende","Unterwoche"))</x:f>
        <x:v>Unterwoche</x:v>
      </x:c>
      <x:c r="D83" s="123" t="n">
        <x:f>IF(A83="","",IF(N83&lt;&gt;"",N83,IF(B83="Nebensaison",IF(C83="Wochenende",'00_Eingabe'!$C$24,'00_Eingabe'!$B$24),IF(B83="Hauptsaison",IF(C83="Wochenende",'00_Eingabe'!$C$25,'00_Eingabe'!$B$25),IF(B83="Weihnachten",IF(C83="Wochenende",'00_Eingabe'!$C$26,'00_Eingabe'!$B$26),IF(C83="Wochenende",'00_Eingabe'!$C$27,'00_Eingabe'!$B$27))))))</x:f>
        <x:v>0.7</x:v>
      </x:c>
      <x:c r="E83" s="122" t="n">
        <x:f>IF(OR(A83="",D83=""),"",ROUND('00_Eingabe'!$B$8*D83,0))</x:f>
        <x:v>25</x:v>
      </x:c>
      <x:c r="F83" s="122" t="n">
        <x:f>IF(E83="","",ROUND(E83*'00_Eingabe'!$B$18,0))</x:f>
        <x:v>48</x:v>
      </x:c>
      <x:c r="G83" s="123" t="n">
        <x:f>IF(A83="","",IF(O83&lt;&gt;"",O83,IF(B83="Nebensaison",IF(C83="Wochenende",'00_Eingabe'!$E$24,'00_Eingabe'!$D$24),IF(B83="Hauptsaison",IF(C83="Wochenende",'00_Eingabe'!$E$25,'00_Eingabe'!$D$25),IF(B83="Weihnachten",IF(C83="Wochenende",'00_Eingabe'!$E$26,'00_Eingabe'!$D$26),IF(C83="Wochenende",'00_Eingabe'!$E$27,'00_Eingabe'!$D$27))))))</x:f>
        <x:v>0.7</x:v>
      </x:c>
      <x:c r="H83" s="122" t="n">
        <x:f>IF(OR(A83="",G83=""),"",ROUND('00_Eingabe'!$B$9*G83,0))</x:f>
        <x:v>3</x:v>
      </x:c>
      <x:c r="I83" s="122" t="n">
        <x:f>IF(H83="","",ROUND(H83*'00_Eingabe'!$B$19,0))</x:f>
        <x:v>7</x:v>
      </x:c>
      <x:c r="J83" s="122" t="n">
        <x:f>IF(OR(F83="",I83=""),"",F83+I83)</x:f>
        <x:v>55</x:v>
      </x:c>
      <x:c r="K83" s="122" t="n">
        <x:f>IF(J83="","",ROUND(J83*'00_Eingabe'!$B$16*(1+'00_Eingabe'!$B$14),0))</x:f>
        <x:v>63</x:v>
      </x:c>
      <x:c r="L83" s="122" t="n">
        <x:f>IF(B83="Betriebsferien",0,ROUND(J83*'00_Eingabe'!$B$40,0)+IF(C83="Wochenende",'00_Eingabe'!$B$42,'00_Eingabe'!$B$41))</x:f>
        <x:v>55</x:v>
      </x:c>
      <x:c r="M83" s="123" t="n">
        <x:f>IF(J83="","",ROUND(J83*'00_Eingabe'!$B$17*(1+'00_Eingabe'!$B$15),0))</x:f>
        <x:v>63</x:v>
      </x:c>
      <x:c r="N83" s="106"/>
      <x:c r="O83" s="106"/>
      <x:c r="P83" s="116"/>
      <x:c r="Q83" s="213" t="n">
        <x:f>IF(C83="Wochenende",1,0)</x:f>
        <x:v>0</x:v>
      </x:c>
      <x:c r="R83" s="213" t="n">
        <x:f>IF(AND(B83&lt;&gt;"Betriebsferien",OR(WEEKDAY(A83,2)=2,WEEKDAY(A83,2)=4)),1,0)</x:f>
        <x:v>0</x:v>
      </x:c>
      <x:c r="S83" s="214" t="n">
        <x:f>R83*MIN(1,'00_Eingabe'!$B$62/'00_Eingabe'!$B$61)</x:f>
        <x:v>0</x:v>
      </x:c>
      <x:c r="T83" s="213" t="n">
        <x:f>IF(B83="Betriebsferien",0,IF(B83="Nebensaison",IF(OR(WEEKDAY(A83,2)=1,WEEKDAY(A83,2)=3,WEEKDAY(A83,2)=5),1,0),IF(C83="Unterwoche",1,0)))</x:f>
        <x:v>1</x:v>
      </x:c>
      <x:c r="U83" s="213" t="n">
        <x:f>IF(B83="Betriebsferien",0,'00_Eingabe'!$G$24)</x:f>
        <x:v>8</x:v>
      </x:c>
    </x:row>
    <x:row r="84">
      <x:c r="A84" s="121" t="n">
        <x:f>IF(ROW()-4&lt;DATE('00_Eingabe'!$B$7+1,1,1)-DATE('00_Eingabe'!$B$7,1,1),DATE('00_Eingabe'!$B$7,1,1)+ROW()-4,"")</x:f>
        <x:v>45738</x:v>
      </x:c>
      <x:c r="B84" s="122" t="str">
        <x:f>IF(A84="","",IF(OR(AND(MONTH(A84)=12,DAY(A84)&gt;=20),AND(MONTH(A84)=1,DAY(A84)&lt;=2)),"Weihnachten",IF(OR(AND(MONTH(A84)=11,DAY(A84)&gt;=24),AND(MONTH(A84)=12,DAY(A84)&lt;=7)),"Betriebsferien",IF(OR(AND(MONTH(A84)=1,DAY(A84)&gt;=3),MONTH(A84)=2,MONTH(A84)=3,MONTH(A84)=4,MONTH(A84)=10,MONTH(A84)=11,AND(MONTH(A84)=12,DAY(A84)&lt;=15)),"Nebensaison","Hauptsaison"))))</x:f>
        <x:v>Nebensaison</x:v>
      </x:c>
      <x:c r="C84" s="122" t="str">
        <x:f>IF(A84="","",IF(WEEKDAY(A84,2)&gt;=6,"Wochenende","Unterwoche"))</x:f>
        <x:v>Wochenende</x:v>
      </x:c>
      <x:c r="D84" s="123" t="n">
        <x:f>IF(A84="","",IF(N84&lt;&gt;"",N84,IF(B84="Nebensaison",IF(C84="Wochenende",'00_Eingabe'!$C$24,'00_Eingabe'!$B$24),IF(B84="Hauptsaison",IF(C84="Wochenende",'00_Eingabe'!$C$25,'00_Eingabe'!$B$25),IF(B84="Weihnachten",IF(C84="Wochenende",'00_Eingabe'!$C$26,'00_Eingabe'!$B$26),IF(C84="Wochenende",'00_Eingabe'!$C$27,'00_Eingabe'!$B$27))))))</x:f>
        <x:v>0.75</x:v>
      </x:c>
      <x:c r="E84" s="122" t="n">
        <x:f>IF(OR(A84="",D84=""),"",ROUND('00_Eingabe'!$B$8*D84,0))</x:f>
        <x:v>26</x:v>
      </x:c>
      <x:c r="F84" s="122" t="n">
        <x:f>IF(E84="","",ROUND(E84*'00_Eingabe'!$B$18,0))</x:f>
        <x:v>49</x:v>
      </x:c>
      <x:c r="G84" s="123" t="n">
        <x:f>IF(A84="","",IF(O84&lt;&gt;"",O84,IF(B84="Nebensaison",IF(C84="Wochenende",'00_Eingabe'!$E$24,'00_Eingabe'!$D$24),IF(B84="Hauptsaison",IF(C84="Wochenende",'00_Eingabe'!$E$25,'00_Eingabe'!$D$25),IF(B84="Weihnachten",IF(C84="Wochenende",'00_Eingabe'!$E$26,'00_Eingabe'!$D$26),IF(C84="Wochenende",'00_Eingabe'!$E$27,'00_Eingabe'!$D$27))))))</x:f>
        <x:v>0.75</x:v>
      </x:c>
      <x:c r="H84" s="122" t="n">
        <x:f>IF(OR(A84="",G84=""),"",ROUND('00_Eingabe'!$B$9*G84,0))</x:f>
        <x:v>3</x:v>
      </x:c>
      <x:c r="I84" s="122" t="n">
        <x:f>IF(H84="","",ROUND(H84*'00_Eingabe'!$B$19,0))</x:f>
        <x:v>7</x:v>
      </x:c>
      <x:c r="J84" s="122" t="n">
        <x:f>IF(OR(F84="",I84=""),"",F84+I84)</x:f>
        <x:v>56</x:v>
      </x:c>
      <x:c r="K84" s="122" t="n">
        <x:f>IF(J84="","",ROUND(J84*'00_Eingabe'!$B$16*(1+'00_Eingabe'!$B$14),0))</x:f>
        <x:v>64</x:v>
      </x:c>
      <x:c r="L84" s="122" t="n">
        <x:f>IF(B84="Betriebsferien",0,ROUND(J84*'00_Eingabe'!$B$40,0)+IF(C84="Wochenende",'00_Eingabe'!$B$42,'00_Eingabe'!$B$41))</x:f>
        <x:v>80</x:v>
      </x:c>
      <x:c r="M84" s="123" t="n">
        <x:f>IF(J84="","",ROUND(J84*'00_Eingabe'!$B$17*(1+'00_Eingabe'!$B$15),0))</x:f>
        <x:v>64</x:v>
      </x:c>
      <x:c r="N84" s="106"/>
      <x:c r="O84" s="106"/>
      <x:c r="P84" s="116"/>
      <x:c r="Q84" s="213" t="n">
        <x:f>IF(C84="Wochenende",1,0)</x:f>
        <x:v>1</x:v>
      </x:c>
      <x:c r="R84" s="213" t="n">
        <x:f>IF(AND(B84&lt;&gt;"Betriebsferien",OR(WEEKDAY(A84,2)=2,WEEKDAY(A84,2)=4)),1,0)</x:f>
        <x:v>0</x:v>
      </x:c>
      <x:c r="S84" s="214" t="n">
        <x:f>R84*MIN(1,'00_Eingabe'!$B$62/'00_Eingabe'!$B$61)</x:f>
        <x:v>0</x:v>
      </x:c>
      <x:c r="T84" s="213" t="n">
        <x:f>IF(B84="Betriebsferien",0,IF(B84="Nebensaison",IF(OR(WEEKDAY(A84,2)=1,WEEKDAY(A84,2)=3,WEEKDAY(A84,2)=5),1,0),IF(C84="Unterwoche",1,0)))</x:f>
        <x:v>0</x:v>
      </x:c>
      <x:c r="U84" s="213" t="n">
        <x:f>IF(B84="Betriebsferien",0,'00_Eingabe'!$G$24)</x:f>
        <x:v>8</x:v>
      </x:c>
    </x:row>
    <x:row r="85">
      <x:c r="A85" s="121" t="n">
        <x:f>IF(ROW()-4&lt;DATE('00_Eingabe'!$B$7+1,1,1)-DATE('00_Eingabe'!$B$7,1,1),DATE('00_Eingabe'!$B$7,1,1)+ROW()-4,"")</x:f>
        <x:v>45739</x:v>
      </x:c>
      <x:c r="B85" s="122" t="str">
        <x:f>IF(A85="","",IF(OR(AND(MONTH(A85)=12,DAY(A85)&gt;=20),AND(MONTH(A85)=1,DAY(A85)&lt;=2)),"Weihnachten",IF(OR(AND(MONTH(A85)=11,DAY(A85)&gt;=24),AND(MONTH(A85)=12,DAY(A85)&lt;=7)),"Betriebsferien",IF(OR(AND(MONTH(A85)=1,DAY(A85)&gt;=3),MONTH(A85)=2,MONTH(A85)=3,MONTH(A85)=4,MONTH(A85)=10,MONTH(A85)=11,AND(MONTH(A85)=12,DAY(A85)&lt;=15)),"Nebensaison","Hauptsaison"))))</x:f>
        <x:v>Nebensaison</x:v>
      </x:c>
      <x:c r="C85" s="122" t="str">
        <x:f>IF(A85="","",IF(WEEKDAY(A85,2)&gt;=6,"Wochenende","Unterwoche"))</x:f>
        <x:v>Wochenende</x:v>
      </x:c>
      <x:c r="D85" s="123" t="n">
        <x:f>IF(A85="","",IF(N85&lt;&gt;"",N85,IF(B85="Nebensaison",IF(C85="Wochenende",'00_Eingabe'!$C$24,'00_Eingabe'!$B$24),IF(B85="Hauptsaison",IF(C85="Wochenende",'00_Eingabe'!$C$25,'00_Eingabe'!$B$25),IF(B85="Weihnachten",IF(C85="Wochenende",'00_Eingabe'!$C$26,'00_Eingabe'!$B$26),IF(C85="Wochenende",'00_Eingabe'!$C$27,'00_Eingabe'!$B$27))))))</x:f>
        <x:v>0.75</x:v>
      </x:c>
      <x:c r="E85" s="122" t="n">
        <x:f>IF(OR(A85="",D85=""),"",ROUND('00_Eingabe'!$B$8*D85,0))</x:f>
        <x:v>26</x:v>
      </x:c>
      <x:c r="F85" s="122" t="n">
        <x:f>IF(E85="","",ROUND(E85*'00_Eingabe'!$B$18,0))</x:f>
        <x:v>49</x:v>
      </x:c>
      <x:c r="G85" s="123" t="n">
        <x:f>IF(A85="","",IF(O85&lt;&gt;"",O85,IF(B85="Nebensaison",IF(C85="Wochenende",'00_Eingabe'!$E$24,'00_Eingabe'!$D$24),IF(B85="Hauptsaison",IF(C85="Wochenende",'00_Eingabe'!$E$25,'00_Eingabe'!$D$25),IF(B85="Weihnachten",IF(C85="Wochenende",'00_Eingabe'!$E$26,'00_Eingabe'!$D$26),IF(C85="Wochenende",'00_Eingabe'!$E$27,'00_Eingabe'!$D$27))))))</x:f>
        <x:v>0.75</x:v>
      </x:c>
      <x:c r="H85" s="122" t="n">
        <x:f>IF(OR(A85="",G85=""),"",ROUND('00_Eingabe'!$B$9*G85,0))</x:f>
        <x:v>3</x:v>
      </x:c>
      <x:c r="I85" s="122" t="n">
        <x:f>IF(H85="","",ROUND(H85*'00_Eingabe'!$B$19,0))</x:f>
        <x:v>7</x:v>
      </x:c>
      <x:c r="J85" s="122" t="n">
        <x:f>IF(OR(F85="",I85=""),"",F85+I85)</x:f>
        <x:v>56</x:v>
      </x:c>
      <x:c r="K85" s="122" t="n">
        <x:f>IF(J85="","",ROUND(J85*'00_Eingabe'!$B$16*(1+'00_Eingabe'!$B$14),0))</x:f>
        <x:v>64</x:v>
      </x:c>
      <x:c r="L85" s="122" t="n">
        <x:f>IF(B85="Betriebsferien",0,ROUND(J85*'00_Eingabe'!$B$40,0)+IF(C85="Wochenende",'00_Eingabe'!$B$42,'00_Eingabe'!$B$41))</x:f>
        <x:v>80</x:v>
      </x:c>
      <x:c r="M85" s="123" t="n">
        <x:f>IF(J85="","",ROUND(J85*'00_Eingabe'!$B$17*(1+'00_Eingabe'!$B$15),0))</x:f>
        <x:v>64</x:v>
      </x:c>
      <x:c r="N85" s="106"/>
      <x:c r="O85" s="106"/>
      <x:c r="P85" s="116"/>
      <x:c r="Q85" s="213" t="n">
        <x:f>IF(C85="Wochenende",1,0)</x:f>
        <x:v>1</x:v>
      </x:c>
      <x:c r="R85" s="213" t="n">
        <x:f>IF(AND(B85&lt;&gt;"Betriebsferien",OR(WEEKDAY(A85,2)=2,WEEKDAY(A85,2)=4)),1,0)</x:f>
        <x:v>0</x:v>
      </x:c>
      <x:c r="S85" s="214" t="n">
        <x:f>R85*MIN(1,'00_Eingabe'!$B$62/'00_Eingabe'!$B$61)</x:f>
        <x:v>0</x:v>
      </x:c>
      <x:c r="T85" s="213" t="n">
        <x:f>IF(B85="Betriebsferien",0,IF(B85="Nebensaison",IF(OR(WEEKDAY(A85,2)=1,WEEKDAY(A85,2)=3,WEEKDAY(A85,2)=5),1,0),IF(C85="Unterwoche",1,0)))</x:f>
        <x:v>0</x:v>
      </x:c>
      <x:c r="U85" s="213" t="n">
        <x:f>IF(B85="Betriebsferien",0,'00_Eingabe'!$G$24)</x:f>
        <x:v>8</x:v>
      </x:c>
    </x:row>
    <x:row r="86">
      <x:c r="A86" s="121" t="n">
        <x:f>IF(ROW()-4&lt;DATE('00_Eingabe'!$B$7+1,1,1)-DATE('00_Eingabe'!$B$7,1,1),DATE('00_Eingabe'!$B$7,1,1)+ROW()-4,"")</x:f>
        <x:v>45740</x:v>
      </x:c>
      <x:c r="B86" s="122" t="str">
        <x:f>IF(A86="","",IF(OR(AND(MONTH(A86)=12,DAY(A86)&gt;=20),AND(MONTH(A86)=1,DAY(A86)&lt;=2)),"Weihnachten",IF(OR(AND(MONTH(A86)=11,DAY(A86)&gt;=24),AND(MONTH(A86)=12,DAY(A86)&lt;=7)),"Betriebsferien",IF(OR(AND(MONTH(A86)=1,DAY(A86)&gt;=3),MONTH(A86)=2,MONTH(A86)=3,MONTH(A86)=4,MONTH(A86)=10,MONTH(A86)=11,AND(MONTH(A86)=12,DAY(A86)&lt;=15)),"Nebensaison","Hauptsaison"))))</x:f>
        <x:v>Nebensaison</x:v>
      </x:c>
      <x:c r="C86" s="122" t="str">
        <x:f>IF(A86="","",IF(WEEKDAY(A86,2)&gt;=6,"Wochenende","Unterwoche"))</x:f>
        <x:v>Unterwoche</x:v>
      </x:c>
      <x:c r="D86" s="123" t="n">
        <x:f>IF(A86="","",IF(N86&lt;&gt;"",N86,IF(B86="Nebensaison",IF(C86="Wochenende",'00_Eingabe'!$C$24,'00_Eingabe'!$B$24),IF(B86="Hauptsaison",IF(C86="Wochenende",'00_Eingabe'!$C$25,'00_Eingabe'!$B$25),IF(B86="Weihnachten",IF(C86="Wochenende",'00_Eingabe'!$C$26,'00_Eingabe'!$B$26),IF(C86="Wochenende",'00_Eingabe'!$C$27,'00_Eingabe'!$B$27))))))</x:f>
        <x:v>0.7</x:v>
      </x:c>
      <x:c r="E86" s="122" t="n">
        <x:f>IF(OR(A86="",D86=""),"",ROUND('00_Eingabe'!$B$8*D86,0))</x:f>
        <x:v>25</x:v>
      </x:c>
      <x:c r="F86" s="122" t="n">
        <x:f>IF(E86="","",ROUND(E86*'00_Eingabe'!$B$18,0))</x:f>
        <x:v>48</x:v>
      </x:c>
      <x:c r="G86" s="123" t="n">
        <x:f>IF(A86="","",IF(O86&lt;&gt;"",O86,IF(B86="Nebensaison",IF(C86="Wochenende",'00_Eingabe'!$E$24,'00_Eingabe'!$D$24),IF(B86="Hauptsaison",IF(C86="Wochenende",'00_Eingabe'!$E$25,'00_Eingabe'!$D$25),IF(B86="Weihnachten",IF(C86="Wochenende",'00_Eingabe'!$E$26,'00_Eingabe'!$D$26),IF(C86="Wochenende",'00_Eingabe'!$E$27,'00_Eingabe'!$D$27))))))</x:f>
        <x:v>0.7</x:v>
      </x:c>
      <x:c r="H86" s="122" t="n">
        <x:f>IF(OR(A86="",G86=""),"",ROUND('00_Eingabe'!$B$9*G86,0))</x:f>
        <x:v>3</x:v>
      </x:c>
      <x:c r="I86" s="122" t="n">
        <x:f>IF(H86="","",ROUND(H86*'00_Eingabe'!$B$19,0))</x:f>
        <x:v>7</x:v>
      </x:c>
      <x:c r="J86" s="122" t="n">
        <x:f>IF(OR(F86="",I86=""),"",F86+I86)</x:f>
        <x:v>55</x:v>
      </x:c>
      <x:c r="K86" s="122" t="n">
        <x:f>IF(J86="","",ROUND(J86*'00_Eingabe'!$B$16*(1+'00_Eingabe'!$B$14),0))</x:f>
        <x:v>63</x:v>
      </x:c>
      <x:c r="L86" s="122" t="n">
        <x:f>IF(B86="Betriebsferien",0,ROUND(J86*'00_Eingabe'!$B$40,0)+IF(C86="Wochenende",'00_Eingabe'!$B$42,'00_Eingabe'!$B$41))</x:f>
        <x:v>55</x:v>
      </x:c>
      <x:c r="M86" s="123" t="n">
        <x:f>IF(J86="","",ROUND(J86*'00_Eingabe'!$B$17*(1+'00_Eingabe'!$B$15),0))</x:f>
        <x:v>63</x:v>
      </x:c>
      <x:c r="N86" s="106"/>
      <x:c r="O86" s="106"/>
      <x:c r="P86" s="116"/>
      <x:c r="Q86" s="213" t="n">
        <x:f>IF(C86="Wochenende",1,0)</x:f>
        <x:v>0</x:v>
      </x:c>
      <x:c r="R86" s="213" t="n">
        <x:f>IF(AND(B86&lt;&gt;"Betriebsferien",OR(WEEKDAY(A86,2)=2,WEEKDAY(A86,2)=4)),1,0)</x:f>
        <x:v>0</x:v>
      </x:c>
      <x:c r="S86" s="214" t="n">
        <x:f>R86*MIN(1,'00_Eingabe'!$B$62/'00_Eingabe'!$B$61)</x:f>
        <x:v>0</x:v>
      </x:c>
      <x:c r="T86" s="213" t="n">
        <x:f>IF(B86="Betriebsferien",0,IF(B86="Nebensaison",IF(OR(WEEKDAY(A86,2)=1,WEEKDAY(A86,2)=3,WEEKDAY(A86,2)=5),1,0),IF(C86="Unterwoche",1,0)))</x:f>
        <x:v>1</x:v>
      </x:c>
      <x:c r="U86" s="213" t="n">
        <x:f>IF(B86="Betriebsferien",0,'00_Eingabe'!$G$24)</x:f>
        <x:v>8</x:v>
      </x:c>
    </x:row>
    <x:row r="87">
      <x:c r="A87" s="121" t="n">
        <x:f>IF(ROW()-4&lt;DATE('00_Eingabe'!$B$7+1,1,1)-DATE('00_Eingabe'!$B$7,1,1),DATE('00_Eingabe'!$B$7,1,1)+ROW()-4,"")</x:f>
        <x:v>45741</x:v>
      </x:c>
      <x:c r="B87" s="122" t="str">
        <x:f>IF(A87="","",IF(OR(AND(MONTH(A87)=12,DAY(A87)&gt;=20),AND(MONTH(A87)=1,DAY(A87)&lt;=2)),"Weihnachten",IF(OR(AND(MONTH(A87)=11,DAY(A87)&gt;=24),AND(MONTH(A87)=12,DAY(A87)&lt;=7)),"Betriebsferien",IF(OR(AND(MONTH(A87)=1,DAY(A87)&gt;=3),MONTH(A87)=2,MONTH(A87)=3,MONTH(A87)=4,MONTH(A87)=10,MONTH(A87)=11,AND(MONTH(A87)=12,DAY(A87)&lt;=15)),"Nebensaison","Hauptsaison"))))</x:f>
        <x:v>Nebensaison</x:v>
      </x:c>
      <x:c r="C87" s="122" t="str">
        <x:f>IF(A87="","",IF(WEEKDAY(A87,2)&gt;=6,"Wochenende","Unterwoche"))</x:f>
        <x:v>Unterwoche</x:v>
      </x:c>
      <x:c r="D87" s="123" t="n">
        <x:f>IF(A87="","",IF(N87&lt;&gt;"",N87,IF(B87="Nebensaison",IF(C87="Wochenende",'00_Eingabe'!$C$24,'00_Eingabe'!$B$24),IF(B87="Hauptsaison",IF(C87="Wochenende",'00_Eingabe'!$C$25,'00_Eingabe'!$B$25),IF(B87="Weihnachten",IF(C87="Wochenende",'00_Eingabe'!$C$26,'00_Eingabe'!$B$26),IF(C87="Wochenende",'00_Eingabe'!$C$27,'00_Eingabe'!$B$27))))))</x:f>
        <x:v>0.7</x:v>
      </x:c>
      <x:c r="E87" s="122" t="n">
        <x:f>IF(OR(A87="",D87=""),"",ROUND('00_Eingabe'!$B$8*D87,0))</x:f>
        <x:v>25</x:v>
      </x:c>
      <x:c r="F87" s="122" t="n">
        <x:f>IF(E87="","",ROUND(E87*'00_Eingabe'!$B$18,0))</x:f>
        <x:v>48</x:v>
      </x:c>
      <x:c r="G87" s="123" t="n">
        <x:f>IF(A87="","",IF(O87&lt;&gt;"",O87,IF(B87="Nebensaison",IF(C87="Wochenende",'00_Eingabe'!$E$24,'00_Eingabe'!$D$24),IF(B87="Hauptsaison",IF(C87="Wochenende",'00_Eingabe'!$E$25,'00_Eingabe'!$D$25),IF(B87="Weihnachten",IF(C87="Wochenende",'00_Eingabe'!$E$26,'00_Eingabe'!$D$26),IF(C87="Wochenende",'00_Eingabe'!$E$27,'00_Eingabe'!$D$27))))))</x:f>
        <x:v>0.7</x:v>
      </x:c>
      <x:c r="H87" s="122" t="n">
        <x:f>IF(OR(A87="",G87=""),"",ROUND('00_Eingabe'!$B$9*G87,0))</x:f>
        <x:v>3</x:v>
      </x:c>
      <x:c r="I87" s="122" t="n">
        <x:f>IF(H87="","",ROUND(H87*'00_Eingabe'!$B$19,0))</x:f>
        <x:v>7</x:v>
      </x:c>
      <x:c r="J87" s="122" t="n">
        <x:f>IF(OR(F87="",I87=""),"",F87+I87)</x:f>
        <x:v>55</x:v>
      </x:c>
      <x:c r="K87" s="122" t="n">
        <x:f>IF(J87="","",ROUND(J87*'00_Eingabe'!$B$16*(1+'00_Eingabe'!$B$14),0))</x:f>
        <x:v>63</x:v>
      </x:c>
      <x:c r="L87" s="122" t="n">
        <x:f>IF(B87="Betriebsferien",0,ROUND(J87*'00_Eingabe'!$B$40,0)+IF(C87="Wochenende",'00_Eingabe'!$B$42,'00_Eingabe'!$B$41))</x:f>
        <x:v>55</x:v>
      </x:c>
      <x:c r="M87" s="123" t="n">
        <x:f>IF(J87="","",ROUND(J87*'00_Eingabe'!$B$17*(1+'00_Eingabe'!$B$15),0))</x:f>
        <x:v>63</x:v>
      </x:c>
      <x:c r="N87" s="106"/>
      <x:c r="O87" s="106"/>
      <x:c r="P87" s="116"/>
      <x:c r="Q87" s="213" t="n">
        <x:f>IF(C87="Wochenende",1,0)</x:f>
        <x:v>0</x:v>
      </x:c>
      <x:c r="R87" s="213" t="n">
        <x:f>IF(AND(B87&lt;&gt;"Betriebsferien",OR(WEEKDAY(A87,2)=2,WEEKDAY(A87,2)=4)),1,0)</x:f>
        <x:v>1</x:v>
      </x:c>
      <x:c r="S87" s="214" t="n">
        <x:f>R87*MIN(1,'00_Eingabe'!$B$62/'00_Eingabe'!$B$61)</x:f>
        <x:v>0.5</x:v>
      </x:c>
      <x:c r="T87" s="213" t="n">
        <x:f>IF(B87="Betriebsferien",0,IF(B87="Nebensaison",IF(OR(WEEKDAY(A87,2)=1,WEEKDAY(A87,2)=3,WEEKDAY(A87,2)=5),1,0),IF(C87="Unterwoche",1,0)))</x:f>
        <x:v>0</x:v>
      </x:c>
      <x:c r="U87" s="213" t="n">
        <x:f>IF(B87="Betriebsferien",0,'00_Eingabe'!$G$24)</x:f>
        <x:v>8</x:v>
      </x:c>
    </x:row>
    <x:row r="88">
      <x:c r="A88" s="121" t="n">
        <x:f>IF(ROW()-4&lt;DATE('00_Eingabe'!$B$7+1,1,1)-DATE('00_Eingabe'!$B$7,1,1),DATE('00_Eingabe'!$B$7,1,1)+ROW()-4,"")</x:f>
        <x:v>45742</x:v>
      </x:c>
      <x:c r="B88" s="122" t="str">
        <x:f>IF(A88="","",IF(OR(AND(MONTH(A88)=12,DAY(A88)&gt;=20),AND(MONTH(A88)=1,DAY(A88)&lt;=2)),"Weihnachten",IF(OR(AND(MONTH(A88)=11,DAY(A88)&gt;=24),AND(MONTH(A88)=12,DAY(A88)&lt;=7)),"Betriebsferien",IF(OR(AND(MONTH(A88)=1,DAY(A88)&gt;=3),MONTH(A88)=2,MONTH(A88)=3,MONTH(A88)=4,MONTH(A88)=10,MONTH(A88)=11,AND(MONTH(A88)=12,DAY(A88)&lt;=15)),"Nebensaison","Hauptsaison"))))</x:f>
        <x:v>Nebensaison</x:v>
      </x:c>
      <x:c r="C88" s="122" t="str">
        <x:f>IF(A88="","",IF(WEEKDAY(A88,2)&gt;=6,"Wochenende","Unterwoche"))</x:f>
        <x:v>Unterwoche</x:v>
      </x:c>
      <x:c r="D88" s="123" t="n">
        <x:f>IF(A88="","",IF(N88&lt;&gt;"",N88,IF(B88="Nebensaison",IF(C88="Wochenende",'00_Eingabe'!$C$24,'00_Eingabe'!$B$24),IF(B88="Hauptsaison",IF(C88="Wochenende",'00_Eingabe'!$C$25,'00_Eingabe'!$B$25),IF(B88="Weihnachten",IF(C88="Wochenende",'00_Eingabe'!$C$26,'00_Eingabe'!$B$26),IF(C88="Wochenende",'00_Eingabe'!$C$27,'00_Eingabe'!$B$27))))))</x:f>
        <x:v>0.7</x:v>
      </x:c>
      <x:c r="E88" s="122" t="n">
        <x:f>IF(OR(A88="",D88=""),"",ROUND('00_Eingabe'!$B$8*D88,0))</x:f>
        <x:v>25</x:v>
      </x:c>
      <x:c r="F88" s="122" t="n">
        <x:f>IF(E88="","",ROUND(E88*'00_Eingabe'!$B$18,0))</x:f>
        <x:v>48</x:v>
      </x:c>
      <x:c r="G88" s="123" t="n">
        <x:f>IF(A88="","",IF(O88&lt;&gt;"",O88,IF(B88="Nebensaison",IF(C88="Wochenende",'00_Eingabe'!$E$24,'00_Eingabe'!$D$24),IF(B88="Hauptsaison",IF(C88="Wochenende",'00_Eingabe'!$E$25,'00_Eingabe'!$D$25),IF(B88="Weihnachten",IF(C88="Wochenende",'00_Eingabe'!$E$26,'00_Eingabe'!$D$26),IF(C88="Wochenende",'00_Eingabe'!$E$27,'00_Eingabe'!$D$27))))))</x:f>
        <x:v>0.7</x:v>
      </x:c>
      <x:c r="H88" s="122" t="n">
        <x:f>IF(OR(A88="",G88=""),"",ROUND('00_Eingabe'!$B$9*G88,0))</x:f>
        <x:v>3</x:v>
      </x:c>
      <x:c r="I88" s="122" t="n">
        <x:f>IF(H88="","",ROUND(H88*'00_Eingabe'!$B$19,0))</x:f>
        <x:v>7</x:v>
      </x:c>
      <x:c r="J88" s="122" t="n">
        <x:f>IF(OR(F88="",I88=""),"",F88+I88)</x:f>
        <x:v>55</x:v>
      </x:c>
      <x:c r="K88" s="122" t="n">
        <x:f>IF(J88="","",ROUND(J88*'00_Eingabe'!$B$16*(1+'00_Eingabe'!$B$14),0))</x:f>
        <x:v>63</x:v>
      </x:c>
      <x:c r="L88" s="122" t="n">
        <x:f>IF(B88="Betriebsferien",0,ROUND(J88*'00_Eingabe'!$B$40,0)+IF(C88="Wochenende",'00_Eingabe'!$B$42,'00_Eingabe'!$B$41))</x:f>
        <x:v>55</x:v>
      </x:c>
      <x:c r="M88" s="123" t="n">
        <x:f>IF(J88="","",ROUND(J88*'00_Eingabe'!$B$17*(1+'00_Eingabe'!$B$15),0))</x:f>
        <x:v>63</x:v>
      </x:c>
      <x:c r="N88" s="106"/>
      <x:c r="O88" s="106"/>
      <x:c r="P88" s="116"/>
      <x:c r="Q88" s="213" t="n">
        <x:f>IF(C88="Wochenende",1,0)</x:f>
        <x:v>0</x:v>
      </x:c>
      <x:c r="R88" s="213" t="n">
        <x:f>IF(AND(B88&lt;&gt;"Betriebsferien",OR(WEEKDAY(A88,2)=2,WEEKDAY(A88,2)=4)),1,0)</x:f>
        <x:v>0</x:v>
      </x:c>
      <x:c r="S88" s="214" t="n">
        <x:f>R88*MIN(1,'00_Eingabe'!$B$62/'00_Eingabe'!$B$61)</x:f>
        <x:v>0</x:v>
      </x:c>
      <x:c r="T88" s="213" t="n">
        <x:f>IF(B88="Betriebsferien",0,IF(B88="Nebensaison",IF(OR(WEEKDAY(A88,2)=1,WEEKDAY(A88,2)=3,WEEKDAY(A88,2)=5),1,0),IF(C88="Unterwoche",1,0)))</x:f>
        <x:v>1</x:v>
      </x:c>
      <x:c r="U88" s="213" t="n">
        <x:f>IF(B88="Betriebsferien",0,'00_Eingabe'!$G$24)</x:f>
        <x:v>8</x:v>
      </x:c>
    </x:row>
    <x:row r="89">
      <x:c r="A89" s="121" t="n">
        <x:f>IF(ROW()-4&lt;DATE('00_Eingabe'!$B$7+1,1,1)-DATE('00_Eingabe'!$B$7,1,1),DATE('00_Eingabe'!$B$7,1,1)+ROW()-4,"")</x:f>
        <x:v>45743</x:v>
      </x:c>
      <x:c r="B89" s="122" t="str">
        <x:f>IF(A89="","",IF(OR(AND(MONTH(A89)=12,DAY(A89)&gt;=20),AND(MONTH(A89)=1,DAY(A89)&lt;=2)),"Weihnachten",IF(OR(AND(MONTH(A89)=11,DAY(A89)&gt;=24),AND(MONTH(A89)=12,DAY(A89)&lt;=7)),"Betriebsferien",IF(OR(AND(MONTH(A89)=1,DAY(A89)&gt;=3),MONTH(A89)=2,MONTH(A89)=3,MONTH(A89)=4,MONTH(A89)=10,MONTH(A89)=11,AND(MONTH(A89)=12,DAY(A89)&lt;=15)),"Nebensaison","Hauptsaison"))))</x:f>
        <x:v>Nebensaison</x:v>
      </x:c>
      <x:c r="C89" s="122" t="str">
        <x:f>IF(A89="","",IF(WEEKDAY(A89,2)&gt;=6,"Wochenende","Unterwoche"))</x:f>
        <x:v>Unterwoche</x:v>
      </x:c>
      <x:c r="D89" s="123" t="n">
        <x:f>IF(A89="","",IF(N89&lt;&gt;"",N89,IF(B89="Nebensaison",IF(C89="Wochenende",'00_Eingabe'!$C$24,'00_Eingabe'!$B$24),IF(B89="Hauptsaison",IF(C89="Wochenende",'00_Eingabe'!$C$25,'00_Eingabe'!$B$25),IF(B89="Weihnachten",IF(C89="Wochenende",'00_Eingabe'!$C$26,'00_Eingabe'!$B$26),IF(C89="Wochenende",'00_Eingabe'!$C$27,'00_Eingabe'!$B$27))))))</x:f>
        <x:v>0.7</x:v>
      </x:c>
      <x:c r="E89" s="122" t="n">
        <x:f>IF(OR(A89="",D89=""),"",ROUND('00_Eingabe'!$B$8*D89,0))</x:f>
        <x:v>25</x:v>
      </x:c>
      <x:c r="F89" s="122" t="n">
        <x:f>IF(E89="","",ROUND(E89*'00_Eingabe'!$B$18,0))</x:f>
        <x:v>48</x:v>
      </x:c>
      <x:c r="G89" s="123" t="n">
        <x:f>IF(A89="","",IF(O89&lt;&gt;"",O89,IF(B89="Nebensaison",IF(C89="Wochenende",'00_Eingabe'!$E$24,'00_Eingabe'!$D$24),IF(B89="Hauptsaison",IF(C89="Wochenende",'00_Eingabe'!$E$25,'00_Eingabe'!$D$25),IF(B89="Weihnachten",IF(C89="Wochenende",'00_Eingabe'!$E$26,'00_Eingabe'!$D$26),IF(C89="Wochenende",'00_Eingabe'!$E$27,'00_Eingabe'!$D$27))))))</x:f>
        <x:v>0.7</x:v>
      </x:c>
      <x:c r="H89" s="122" t="n">
        <x:f>IF(OR(A89="",G89=""),"",ROUND('00_Eingabe'!$B$9*G89,0))</x:f>
        <x:v>3</x:v>
      </x:c>
      <x:c r="I89" s="122" t="n">
        <x:f>IF(H89="","",ROUND(H89*'00_Eingabe'!$B$19,0))</x:f>
        <x:v>7</x:v>
      </x:c>
      <x:c r="J89" s="122" t="n">
        <x:f>IF(OR(F89="",I89=""),"",F89+I89)</x:f>
        <x:v>55</x:v>
      </x:c>
      <x:c r="K89" s="122" t="n">
        <x:f>IF(J89="","",ROUND(J89*'00_Eingabe'!$B$16*(1+'00_Eingabe'!$B$14),0))</x:f>
        <x:v>63</x:v>
      </x:c>
      <x:c r="L89" s="122" t="n">
        <x:f>IF(B89="Betriebsferien",0,ROUND(J89*'00_Eingabe'!$B$40,0)+IF(C89="Wochenende",'00_Eingabe'!$B$42,'00_Eingabe'!$B$41))</x:f>
        <x:v>55</x:v>
      </x:c>
      <x:c r="M89" s="123" t="n">
        <x:f>IF(J89="","",ROUND(J89*'00_Eingabe'!$B$17*(1+'00_Eingabe'!$B$15),0))</x:f>
        <x:v>63</x:v>
      </x:c>
      <x:c r="N89" s="106"/>
      <x:c r="O89" s="106"/>
      <x:c r="P89" s="116"/>
      <x:c r="Q89" s="213" t="n">
        <x:f>IF(C89="Wochenende",1,0)</x:f>
        <x:v>0</x:v>
      </x:c>
      <x:c r="R89" s="213" t="n">
        <x:f>IF(AND(B89&lt;&gt;"Betriebsferien",OR(WEEKDAY(A89,2)=2,WEEKDAY(A89,2)=4)),1,0)</x:f>
        <x:v>1</x:v>
      </x:c>
      <x:c r="S89" s="214" t="n">
        <x:f>R89*MIN(1,'00_Eingabe'!$B$62/'00_Eingabe'!$B$61)</x:f>
        <x:v>0.5</x:v>
      </x:c>
      <x:c r="T89" s="213" t="n">
        <x:f>IF(B89="Betriebsferien",0,IF(B89="Nebensaison",IF(OR(WEEKDAY(A89,2)=1,WEEKDAY(A89,2)=3,WEEKDAY(A89,2)=5),1,0),IF(C89="Unterwoche",1,0)))</x:f>
        <x:v>0</x:v>
      </x:c>
      <x:c r="U89" s="213" t="n">
        <x:f>IF(B89="Betriebsferien",0,'00_Eingabe'!$G$24)</x:f>
        <x:v>8</x:v>
      </x:c>
    </x:row>
    <x:row r="90">
      <x:c r="A90" s="121" t="n">
        <x:f>IF(ROW()-4&lt;DATE('00_Eingabe'!$B$7+1,1,1)-DATE('00_Eingabe'!$B$7,1,1),DATE('00_Eingabe'!$B$7,1,1)+ROW()-4,"")</x:f>
        <x:v>45744</x:v>
      </x:c>
      <x:c r="B90" s="122" t="str">
        <x:f>IF(A90="","",IF(OR(AND(MONTH(A90)=12,DAY(A90)&gt;=20),AND(MONTH(A90)=1,DAY(A90)&lt;=2)),"Weihnachten",IF(OR(AND(MONTH(A90)=11,DAY(A90)&gt;=24),AND(MONTH(A90)=12,DAY(A90)&lt;=7)),"Betriebsferien",IF(OR(AND(MONTH(A90)=1,DAY(A90)&gt;=3),MONTH(A90)=2,MONTH(A90)=3,MONTH(A90)=4,MONTH(A90)=10,MONTH(A90)=11,AND(MONTH(A90)=12,DAY(A90)&lt;=15)),"Nebensaison","Hauptsaison"))))</x:f>
        <x:v>Nebensaison</x:v>
      </x:c>
      <x:c r="C90" s="122" t="str">
        <x:f>IF(A90="","",IF(WEEKDAY(A90,2)&gt;=6,"Wochenende","Unterwoche"))</x:f>
        <x:v>Unterwoche</x:v>
      </x:c>
      <x:c r="D90" s="123" t="n">
        <x:f>IF(A90="","",IF(N90&lt;&gt;"",N90,IF(B90="Nebensaison",IF(C90="Wochenende",'00_Eingabe'!$C$24,'00_Eingabe'!$B$24),IF(B90="Hauptsaison",IF(C90="Wochenende",'00_Eingabe'!$C$25,'00_Eingabe'!$B$25),IF(B90="Weihnachten",IF(C90="Wochenende",'00_Eingabe'!$C$26,'00_Eingabe'!$B$26),IF(C90="Wochenende",'00_Eingabe'!$C$27,'00_Eingabe'!$B$27))))))</x:f>
        <x:v>0.7</x:v>
      </x:c>
      <x:c r="E90" s="122" t="n">
        <x:f>IF(OR(A90="",D90=""),"",ROUND('00_Eingabe'!$B$8*D90,0))</x:f>
        <x:v>25</x:v>
      </x:c>
      <x:c r="F90" s="122" t="n">
        <x:f>IF(E90="","",ROUND(E90*'00_Eingabe'!$B$18,0))</x:f>
        <x:v>48</x:v>
      </x:c>
      <x:c r="G90" s="123" t="n">
        <x:f>IF(A90="","",IF(O90&lt;&gt;"",O90,IF(B90="Nebensaison",IF(C90="Wochenende",'00_Eingabe'!$E$24,'00_Eingabe'!$D$24),IF(B90="Hauptsaison",IF(C90="Wochenende",'00_Eingabe'!$E$25,'00_Eingabe'!$D$25),IF(B90="Weihnachten",IF(C90="Wochenende",'00_Eingabe'!$E$26,'00_Eingabe'!$D$26),IF(C90="Wochenende",'00_Eingabe'!$E$27,'00_Eingabe'!$D$27))))))</x:f>
        <x:v>0.7</x:v>
      </x:c>
      <x:c r="H90" s="122" t="n">
        <x:f>IF(OR(A90="",G90=""),"",ROUND('00_Eingabe'!$B$9*G90,0))</x:f>
        <x:v>3</x:v>
      </x:c>
      <x:c r="I90" s="122" t="n">
        <x:f>IF(H90="","",ROUND(H90*'00_Eingabe'!$B$19,0))</x:f>
        <x:v>7</x:v>
      </x:c>
      <x:c r="J90" s="122" t="n">
        <x:f>IF(OR(F90="",I90=""),"",F90+I90)</x:f>
        <x:v>55</x:v>
      </x:c>
      <x:c r="K90" s="122" t="n">
        <x:f>IF(J90="","",ROUND(J90*'00_Eingabe'!$B$16*(1+'00_Eingabe'!$B$14),0))</x:f>
        <x:v>63</x:v>
      </x:c>
      <x:c r="L90" s="122" t="n">
        <x:f>IF(B90="Betriebsferien",0,ROUND(J90*'00_Eingabe'!$B$40,0)+IF(C90="Wochenende",'00_Eingabe'!$B$42,'00_Eingabe'!$B$41))</x:f>
        <x:v>55</x:v>
      </x:c>
      <x:c r="M90" s="123" t="n">
        <x:f>IF(J90="","",ROUND(J90*'00_Eingabe'!$B$17*(1+'00_Eingabe'!$B$15),0))</x:f>
        <x:v>63</x:v>
      </x:c>
      <x:c r="N90" s="106"/>
      <x:c r="O90" s="106"/>
      <x:c r="P90" s="116"/>
      <x:c r="Q90" s="213" t="n">
        <x:f>IF(C90="Wochenende",1,0)</x:f>
        <x:v>0</x:v>
      </x:c>
      <x:c r="R90" s="213" t="n">
        <x:f>IF(AND(B90&lt;&gt;"Betriebsferien",OR(WEEKDAY(A90,2)=2,WEEKDAY(A90,2)=4)),1,0)</x:f>
        <x:v>0</x:v>
      </x:c>
      <x:c r="S90" s="214" t="n">
        <x:f>R90*MIN(1,'00_Eingabe'!$B$62/'00_Eingabe'!$B$61)</x:f>
        <x:v>0</x:v>
      </x:c>
      <x:c r="T90" s="213" t="n">
        <x:f>IF(B90="Betriebsferien",0,IF(B90="Nebensaison",IF(OR(WEEKDAY(A90,2)=1,WEEKDAY(A90,2)=3,WEEKDAY(A90,2)=5),1,0),IF(C90="Unterwoche",1,0)))</x:f>
        <x:v>1</x:v>
      </x:c>
      <x:c r="U90" s="213" t="n">
        <x:f>IF(B90="Betriebsferien",0,'00_Eingabe'!$G$24)</x:f>
        <x:v>8</x:v>
      </x:c>
    </x:row>
    <x:row r="91">
      <x:c r="A91" s="121" t="n">
        <x:f>IF(ROW()-4&lt;DATE('00_Eingabe'!$B$7+1,1,1)-DATE('00_Eingabe'!$B$7,1,1),DATE('00_Eingabe'!$B$7,1,1)+ROW()-4,"")</x:f>
        <x:v>45745</x:v>
      </x:c>
      <x:c r="B91" s="122" t="str">
        <x:f>IF(A91="","",IF(OR(AND(MONTH(A91)=12,DAY(A91)&gt;=20),AND(MONTH(A91)=1,DAY(A91)&lt;=2)),"Weihnachten",IF(OR(AND(MONTH(A91)=11,DAY(A91)&gt;=24),AND(MONTH(A91)=12,DAY(A91)&lt;=7)),"Betriebsferien",IF(OR(AND(MONTH(A91)=1,DAY(A91)&gt;=3),MONTH(A91)=2,MONTH(A91)=3,MONTH(A91)=4,MONTH(A91)=10,MONTH(A91)=11,AND(MONTH(A91)=12,DAY(A91)&lt;=15)),"Nebensaison","Hauptsaison"))))</x:f>
        <x:v>Nebensaison</x:v>
      </x:c>
      <x:c r="C91" s="122" t="str">
        <x:f>IF(A91="","",IF(WEEKDAY(A91,2)&gt;=6,"Wochenende","Unterwoche"))</x:f>
        <x:v>Wochenende</x:v>
      </x:c>
      <x:c r="D91" s="123" t="n">
        <x:f>IF(A91="","",IF(N91&lt;&gt;"",N91,IF(B91="Nebensaison",IF(C91="Wochenende",'00_Eingabe'!$C$24,'00_Eingabe'!$B$24),IF(B91="Hauptsaison",IF(C91="Wochenende",'00_Eingabe'!$C$25,'00_Eingabe'!$B$25),IF(B91="Weihnachten",IF(C91="Wochenende",'00_Eingabe'!$C$26,'00_Eingabe'!$B$26),IF(C91="Wochenende",'00_Eingabe'!$C$27,'00_Eingabe'!$B$27))))))</x:f>
        <x:v>0.75</x:v>
      </x:c>
      <x:c r="E91" s="122" t="n">
        <x:f>IF(OR(A91="",D91=""),"",ROUND('00_Eingabe'!$B$8*D91,0))</x:f>
        <x:v>26</x:v>
      </x:c>
      <x:c r="F91" s="122" t="n">
        <x:f>IF(E91="","",ROUND(E91*'00_Eingabe'!$B$18,0))</x:f>
        <x:v>49</x:v>
      </x:c>
      <x:c r="G91" s="123" t="n">
        <x:f>IF(A91="","",IF(O91&lt;&gt;"",O91,IF(B91="Nebensaison",IF(C91="Wochenende",'00_Eingabe'!$E$24,'00_Eingabe'!$D$24),IF(B91="Hauptsaison",IF(C91="Wochenende",'00_Eingabe'!$E$25,'00_Eingabe'!$D$25),IF(B91="Weihnachten",IF(C91="Wochenende",'00_Eingabe'!$E$26,'00_Eingabe'!$D$26),IF(C91="Wochenende",'00_Eingabe'!$E$27,'00_Eingabe'!$D$27))))))</x:f>
        <x:v>0.75</x:v>
      </x:c>
      <x:c r="H91" s="122" t="n">
        <x:f>IF(OR(A91="",G91=""),"",ROUND('00_Eingabe'!$B$9*G91,0))</x:f>
        <x:v>3</x:v>
      </x:c>
      <x:c r="I91" s="122" t="n">
        <x:f>IF(H91="","",ROUND(H91*'00_Eingabe'!$B$19,0))</x:f>
        <x:v>7</x:v>
      </x:c>
      <x:c r="J91" s="122" t="n">
        <x:f>IF(OR(F91="",I91=""),"",F91+I91)</x:f>
        <x:v>56</x:v>
      </x:c>
      <x:c r="K91" s="122" t="n">
        <x:f>IF(J91="","",ROUND(J91*'00_Eingabe'!$B$16*(1+'00_Eingabe'!$B$14),0))</x:f>
        <x:v>64</x:v>
      </x:c>
      <x:c r="L91" s="122" t="n">
        <x:f>IF(B91="Betriebsferien",0,ROUND(J91*'00_Eingabe'!$B$40,0)+IF(C91="Wochenende",'00_Eingabe'!$B$42,'00_Eingabe'!$B$41))</x:f>
        <x:v>80</x:v>
      </x:c>
      <x:c r="M91" s="123" t="n">
        <x:f>IF(J91="","",ROUND(J91*'00_Eingabe'!$B$17*(1+'00_Eingabe'!$B$15),0))</x:f>
        <x:v>64</x:v>
      </x:c>
      <x:c r="N91" s="106"/>
      <x:c r="O91" s="106"/>
      <x:c r="P91" s="116"/>
      <x:c r="Q91" s="213" t="n">
        <x:f>IF(C91="Wochenende",1,0)</x:f>
        <x:v>1</x:v>
      </x:c>
      <x:c r="R91" s="213" t="n">
        <x:f>IF(AND(B91&lt;&gt;"Betriebsferien",OR(WEEKDAY(A91,2)=2,WEEKDAY(A91,2)=4)),1,0)</x:f>
        <x:v>0</x:v>
      </x:c>
      <x:c r="S91" s="214" t="n">
        <x:f>R91*MIN(1,'00_Eingabe'!$B$62/'00_Eingabe'!$B$61)</x:f>
        <x:v>0</x:v>
      </x:c>
      <x:c r="T91" s="213" t="n">
        <x:f>IF(B91="Betriebsferien",0,IF(B91="Nebensaison",IF(OR(WEEKDAY(A91,2)=1,WEEKDAY(A91,2)=3,WEEKDAY(A91,2)=5),1,0),IF(C91="Unterwoche",1,0)))</x:f>
        <x:v>0</x:v>
      </x:c>
      <x:c r="U91" s="213" t="n">
        <x:f>IF(B91="Betriebsferien",0,'00_Eingabe'!$G$24)</x:f>
        <x:v>8</x:v>
      </x:c>
    </x:row>
    <x:row r="92">
      <x:c r="A92" s="121" t="n">
        <x:f>IF(ROW()-4&lt;DATE('00_Eingabe'!$B$7+1,1,1)-DATE('00_Eingabe'!$B$7,1,1),DATE('00_Eingabe'!$B$7,1,1)+ROW()-4,"")</x:f>
        <x:v>45746</x:v>
      </x:c>
      <x:c r="B92" s="122" t="str">
        <x:f>IF(A92="","",IF(OR(AND(MONTH(A92)=12,DAY(A92)&gt;=20),AND(MONTH(A92)=1,DAY(A92)&lt;=2)),"Weihnachten",IF(OR(AND(MONTH(A92)=11,DAY(A92)&gt;=24),AND(MONTH(A92)=12,DAY(A92)&lt;=7)),"Betriebsferien",IF(OR(AND(MONTH(A92)=1,DAY(A92)&gt;=3),MONTH(A92)=2,MONTH(A92)=3,MONTH(A92)=4,MONTH(A92)=10,MONTH(A92)=11,AND(MONTH(A92)=12,DAY(A92)&lt;=15)),"Nebensaison","Hauptsaison"))))</x:f>
        <x:v>Nebensaison</x:v>
      </x:c>
      <x:c r="C92" s="122" t="str">
        <x:f>IF(A92="","",IF(WEEKDAY(A92,2)&gt;=6,"Wochenende","Unterwoche"))</x:f>
        <x:v>Wochenende</x:v>
      </x:c>
      <x:c r="D92" s="123" t="n">
        <x:f>IF(A92="","",IF(N92&lt;&gt;"",N92,IF(B92="Nebensaison",IF(C92="Wochenende",'00_Eingabe'!$C$24,'00_Eingabe'!$B$24),IF(B92="Hauptsaison",IF(C92="Wochenende",'00_Eingabe'!$C$25,'00_Eingabe'!$B$25),IF(B92="Weihnachten",IF(C92="Wochenende",'00_Eingabe'!$C$26,'00_Eingabe'!$B$26),IF(C92="Wochenende",'00_Eingabe'!$C$27,'00_Eingabe'!$B$27))))))</x:f>
        <x:v>0.75</x:v>
      </x:c>
      <x:c r="E92" s="122" t="n">
        <x:f>IF(OR(A92="",D92=""),"",ROUND('00_Eingabe'!$B$8*D92,0))</x:f>
        <x:v>26</x:v>
      </x:c>
      <x:c r="F92" s="122" t="n">
        <x:f>IF(E92="","",ROUND(E92*'00_Eingabe'!$B$18,0))</x:f>
        <x:v>49</x:v>
      </x:c>
      <x:c r="G92" s="123" t="n">
        <x:f>IF(A92="","",IF(O92&lt;&gt;"",O92,IF(B92="Nebensaison",IF(C92="Wochenende",'00_Eingabe'!$E$24,'00_Eingabe'!$D$24),IF(B92="Hauptsaison",IF(C92="Wochenende",'00_Eingabe'!$E$25,'00_Eingabe'!$D$25),IF(B92="Weihnachten",IF(C92="Wochenende",'00_Eingabe'!$E$26,'00_Eingabe'!$D$26),IF(C92="Wochenende",'00_Eingabe'!$E$27,'00_Eingabe'!$D$27))))))</x:f>
        <x:v>0.75</x:v>
      </x:c>
      <x:c r="H92" s="122" t="n">
        <x:f>IF(OR(A92="",G92=""),"",ROUND('00_Eingabe'!$B$9*G92,0))</x:f>
        <x:v>3</x:v>
      </x:c>
      <x:c r="I92" s="122" t="n">
        <x:f>IF(H92="","",ROUND(H92*'00_Eingabe'!$B$19,0))</x:f>
        <x:v>7</x:v>
      </x:c>
      <x:c r="J92" s="122" t="n">
        <x:f>IF(OR(F92="",I92=""),"",F92+I92)</x:f>
        <x:v>56</x:v>
      </x:c>
      <x:c r="K92" s="122" t="n">
        <x:f>IF(J92="","",ROUND(J92*'00_Eingabe'!$B$16*(1+'00_Eingabe'!$B$14),0))</x:f>
        <x:v>64</x:v>
      </x:c>
      <x:c r="L92" s="122" t="n">
        <x:f>IF(B92="Betriebsferien",0,ROUND(J92*'00_Eingabe'!$B$40,0)+IF(C92="Wochenende",'00_Eingabe'!$B$42,'00_Eingabe'!$B$41))</x:f>
        <x:v>80</x:v>
      </x:c>
      <x:c r="M92" s="123" t="n">
        <x:f>IF(J92="","",ROUND(J92*'00_Eingabe'!$B$17*(1+'00_Eingabe'!$B$15),0))</x:f>
        <x:v>64</x:v>
      </x:c>
      <x:c r="N92" s="106"/>
      <x:c r="O92" s="106"/>
      <x:c r="P92" s="116"/>
      <x:c r="Q92" s="213" t="n">
        <x:f>IF(C92="Wochenende",1,0)</x:f>
        <x:v>1</x:v>
      </x:c>
      <x:c r="R92" s="213" t="n">
        <x:f>IF(AND(B92&lt;&gt;"Betriebsferien",OR(WEEKDAY(A92,2)=2,WEEKDAY(A92,2)=4)),1,0)</x:f>
        <x:v>0</x:v>
      </x:c>
      <x:c r="S92" s="214" t="n">
        <x:f>R92*MIN(1,'00_Eingabe'!$B$62/'00_Eingabe'!$B$61)</x:f>
        <x:v>0</x:v>
      </x:c>
      <x:c r="T92" s="213" t="n">
        <x:f>IF(B92="Betriebsferien",0,IF(B92="Nebensaison",IF(OR(WEEKDAY(A92,2)=1,WEEKDAY(A92,2)=3,WEEKDAY(A92,2)=5),1,0),IF(C92="Unterwoche",1,0)))</x:f>
        <x:v>0</x:v>
      </x:c>
      <x:c r="U92" s="213" t="n">
        <x:f>IF(B92="Betriebsferien",0,'00_Eingabe'!$G$24)</x:f>
        <x:v>8</x:v>
      </x:c>
    </x:row>
    <x:row r="93">
      <x:c r="A93" s="121" t="n">
        <x:f>IF(ROW()-4&lt;DATE('00_Eingabe'!$B$7+1,1,1)-DATE('00_Eingabe'!$B$7,1,1),DATE('00_Eingabe'!$B$7,1,1)+ROW()-4,"")</x:f>
        <x:v>45747</x:v>
      </x:c>
      <x:c r="B93" s="122" t="str">
        <x:f>IF(A93="","",IF(OR(AND(MONTH(A93)=12,DAY(A93)&gt;=20),AND(MONTH(A93)=1,DAY(A93)&lt;=2)),"Weihnachten",IF(OR(AND(MONTH(A93)=11,DAY(A93)&gt;=24),AND(MONTH(A93)=12,DAY(A93)&lt;=7)),"Betriebsferien",IF(OR(AND(MONTH(A93)=1,DAY(A93)&gt;=3),MONTH(A93)=2,MONTH(A93)=3,MONTH(A93)=4,MONTH(A93)=10,MONTH(A93)=11,AND(MONTH(A93)=12,DAY(A93)&lt;=15)),"Nebensaison","Hauptsaison"))))</x:f>
        <x:v>Nebensaison</x:v>
      </x:c>
      <x:c r="C93" s="122" t="str">
        <x:f>IF(A93="","",IF(WEEKDAY(A93,2)&gt;=6,"Wochenende","Unterwoche"))</x:f>
        <x:v>Unterwoche</x:v>
      </x:c>
      <x:c r="D93" s="123" t="n">
        <x:f>IF(A93="","",IF(N93&lt;&gt;"",N93,IF(B93="Nebensaison",IF(C93="Wochenende",'00_Eingabe'!$C$24,'00_Eingabe'!$B$24),IF(B93="Hauptsaison",IF(C93="Wochenende",'00_Eingabe'!$C$25,'00_Eingabe'!$B$25),IF(B93="Weihnachten",IF(C93="Wochenende",'00_Eingabe'!$C$26,'00_Eingabe'!$B$26),IF(C93="Wochenende",'00_Eingabe'!$C$27,'00_Eingabe'!$B$27))))))</x:f>
        <x:v>0.7</x:v>
      </x:c>
      <x:c r="E93" s="122" t="n">
        <x:f>IF(OR(A93="",D93=""),"",ROUND('00_Eingabe'!$B$8*D93,0))</x:f>
        <x:v>25</x:v>
      </x:c>
      <x:c r="F93" s="122" t="n">
        <x:f>IF(E93="","",ROUND(E93*'00_Eingabe'!$B$18,0))</x:f>
        <x:v>48</x:v>
      </x:c>
      <x:c r="G93" s="123" t="n">
        <x:f>IF(A93="","",IF(O93&lt;&gt;"",O93,IF(B93="Nebensaison",IF(C93="Wochenende",'00_Eingabe'!$E$24,'00_Eingabe'!$D$24),IF(B93="Hauptsaison",IF(C93="Wochenende",'00_Eingabe'!$E$25,'00_Eingabe'!$D$25),IF(B93="Weihnachten",IF(C93="Wochenende",'00_Eingabe'!$E$26,'00_Eingabe'!$D$26),IF(C93="Wochenende",'00_Eingabe'!$E$27,'00_Eingabe'!$D$27))))))</x:f>
        <x:v>0.7</x:v>
      </x:c>
      <x:c r="H93" s="122" t="n">
        <x:f>IF(OR(A93="",G93=""),"",ROUND('00_Eingabe'!$B$9*G93,0))</x:f>
        <x:v>3</x:v>
      </x:c>
      <x:c r="I93" s="122" t="n">
        <x:f>IF(H93="","",ROUND(H93*'00_Eingabe'!$B$19,0))</x:f>
        <x:v>7</x:v>
      </x:c>
      <x:c r="J93" s="122" t="n">
        <x:f>IF(OR(F93="",I93=""),"",F93+I93)</x:f>
        <x:v>55</x:v>
      </x:c>
      <x:c r="K93" s="122" t="n">
        <x:f>IF(J93="","",ROUND(J93*'00_Eingabe'!$B$16*(1+'00_Eingabe'!$B$14),0))</x:f>
        <x:v>63</x:v>
      </x:c>
      <x:c r="L93" s="122" t="n">
        <x:f>IF(B93="Betriebsferien",0,ROUND(J93*'00_Eingabe'!$B$40,0)+IF(C93="Wochenende",'00_Eingabe'!$B$42,'00_Eingabe'!$B$41))</x:f>
        <x:v>55</x:v>
      </x:c>
      <x:c r="M93" s="123" t="n">
        <x:f>IF(J93="","",ROUND(J93*'00_Eingabe'!$B$17*(1+'00_Eingabe'!$B$15),0))</x:f>
        <x:v>63</x:v>
      </x:c>
      <x:c r="N93" s="106"/>
      <x:c r="O93" s="106"/>
      <x:c r="P93" s="116"/>
      <x:c r="Q93" s="213" t="n">
        <x:f>IF(C93="Wochenende",1,0)</x:f>
        <x:v>0</x:v>
      </x:c>
      <x:c r="R93" s="213" t="n">
        <x:f>IF(AND(B93&lt;&gt;"Betriebsferien",OR(WEEKDAY(A93,2)=2,WEEKDAY(A93,2)=4)),1,0)</x:f>
        <x:v>0</x:v>
      </x:c>
      <x:c r="S93" s="214" t="n">
        <x:f>R93*MIN(1,'00_Eingabe'!$B$62/'00_Eingabe'!$B$61)</x:f>
        <x:v>0</x:v>
      </x:c>
      <x:c r="T93" s="213" t="n">
        <x:f>IF(B93="Betriebsferien",0,IF(B93="Nebensaison",IF(OR(WEEKDAY(A93,2)=1,WEEKDAY(A93,2)=3,WEEKDAY(A93,2)=5),1,0),IF(C93="Unterwoche",1,0)))</x:f>
        <x:v>1</x:v>
      </x:c>
      <x:c r="U93" s="213" t="n">
        <x:f>IF(B93="Betriebsferien",0,'00_Eingabe'!$G$24)</x:f>
        <x:v>8</x:v>
      </x:c>
    </x:row>
    <x:row r="94">
      <x:c r="A94" s="121" t="n">
        <x:f>IF(ROW()-4&lt;DATE('00_Eingabe'!$B$7+1,1,1)-DATE('00_Eingabe'!$B$7,1,1),DATE('00_Eingabe'!$B$7,1,1)+ROW()-4,"")</x:f>
        <x:v>45748</x:v>
      </x:c>
      <x:c r="B94" s="122" t="str">
        <x:f>IF(A94="","",IF(OR(AND(MONTH(A94)=12,DAY(A94)&gt;=20),AND(MONTH(A94)=1,DAY(A94)&lt;=2)),"Weihnachten",IF(OR(AND(MONTH(A94)=11,DAY(A94)&gt;=24),AND(MONTH(A94)=12,DAY(A94)&lt;=7)),"Betriebsferien",IF(OR(AND(MONTH(A94)=1,DAY(A94)&gt;=3),MONTH(A94)=2,MONTH(A94)=3,MONTH(A94)=4,MONTH(A94)=10,MONTH(A94)=11,AND(MONTH(A94)=12,DAY(A94)&lt;=15)),"Nebensaison","Hauptsaison"))))</x:f>
        <x:v>Nebensaison</x:v>
      </x:c>
      <x:c r="C94" s="122" t="str">
        <x:f>IF(A94="","",IF(WEEKDAY(A94,2)&gt;=6,"Wochenende","Unterwoche"))</x:f>
        <x:v>Unterwoche</x:v>
      </x:c>
      <x:c r="D94" s="123" t="n">
        <x:f>IF(A94="","",IF(N94&lt;&gt;"",N94,IF(B94="Nebensaison",IF(C94="Wochenende",'00_Eingabe'!$C$24,'00_Eingabe'!$B$24),IF(B94="Hauptsaison",IF(C94="Wochenende",'00_Eingabe'!$C$25,'00_Eingabe'!$B$25),IF(B94="Weihnachten",IF(C94="Wochenende",'00_Eingabe'!$C$26,'00_Eingabe'!$B$26),IF(C94="Wochenende",'00_Eingabe'!$C$27,'00_Eingabe'!$B$27))))))</x:f>
        <x:v>0.7</x:v>
      </x:c>
      <x:c r="E94" s="122" t="n">
        <x:f>IF(OR(A94="",D94=""),"",ROUND('00_Eingabe'!$B$8*D94,0))</x:f>
        <x:v>25</x:v>
      </x:c>
      <x:c r="F94" s="122" t="n">
        <x:f>IF(E94="","",ROUND(E94*'00_Eingabe'!$B$18,0))</x:f>
        <x:v>48</x:v>
      </x:c>
      <x:c r="G94" s="123" t="n">
        <x:f>IF(A94="","",IF(O94&lt;&gt;"",O94,IF(B94="Nebensaison",IF(C94="Wochenende",'00_Eingabe'!$E$24,'00_Eingabe'!$D$24),IF(B94="Hauptsaison",IF(C94="Wochenende",'00_Eingabe'!$E$25,'00_Eingabe'!$D$25),IF(B94="Weihnachten",IF(C94="Wochenende",'00_Eingabe'!$E$26,'00_Eingabe'!$D$26),IF(C94="Wochenende",'00_Eingabe'!$E$27,'00_Eingabe'!$D$27))))))</x:f>
        <x:v>0.7</x:v>
      </x:c>
      <x:c r="H94" s="122" t="n">
        <x:f>IF(OR(A94="",G94=""),"",ROUND('00_Eingabe'!$B$9*G94,0))</x:f>
        <x:v>3</x:v>
      </x:c>
      <x:c r="I94" s="122" t="n">
        <x:f>IF(H94="","",ROUND(H94*'00_Eingabe'!$B$19,0))</x:f>
        <x:v>7</x:v>
      </x:c>
      <x:c r="J94" s="122" t="n">
        <x:f>IF(OR(F94="",I94=""),"",F94+I94)</x:f>
        <x:v>55</x:v>
      </x:c>
      <x:c r="K94" s="122" t="n">
        <x:f>IF(J94="","",ROUND(J94*'00_Eingabe'!$B$16*(1+'00_Eingabe'!$B$14),0))</x:f>
        <x:v>63</x:v>
      </x:c>
      <x:c r="L94" s="122" t="n">
        <x:f>IF(B94="Betriebsferien",0,ROUND(J94*'00_Eingabe'!$B$40,0)+IF(C94="Wochenende",'00_Eingabe'!$B$42,'00_Eingabe'!$B$41))</x:f>
        <x:v>55</x:v>
      </x:c>
      <x:c r="M94" s="123" t="n">
        <x:f>IF(J94="","",ROUND(J94*'00_Eingabe'!$B$17*(1+'00_Eingabe'!$B$15),0))</x:f>
        <x:v>63</x:v>
      </x:c>
      <x:c r="N94" s="106"/>
      <x:c r="O94" s="106"/>
      <x:c r="P94" s="116"/>
      <x:c r="Q94" s="213" t="n">
        <x:f>IF(C94="Wochenende",1,0)</x:f>
        <x:v>0</x:v>
      </x:c>
      <x:c r="R94" s="213" t="n">
        <x:f>IF(AND(B94&lt;&gt;"Betriebsferien",OR(WEEKDAY(A94,2)=2,WEEKDAY(A94,2)=4)),1,0)</x:f>
        <x:v>1</x:v>
      </x:c>
      <x:c r="S94" s="214" t="n">
        <x:f>R94*MIN(1,'00_Eingabe'!$B$62/'00_Eingabe'!$B$61)</x:f>
        <x:v>0.5</x:v>
      </x:c>
      <x:c r="T94" s="213" t="n">
        <x:f>IF(B94="Betriebsferien",0,IF(B94="Nebensaison",IF(OR(WEEKDAY(A94,2)=1,WEEKDAY(A94,2)=3,WEEKDAY(A94,2)=5),1,0),IF(C94="Unterwoche",1,0)))</x:f>
        <x:v>0</x:v>
      </x:c>
      <x:c r="U94" s="213" t="n">
        <x:f>IF(B94="Betriebsferien",0,'00_Eingabe'!$G$24)</x:f>
        <x:v>8</x:v>
      </x:c>
    </x:row>
    <x:row r="95">
      <x:c r="A95" s="121" t="n">
        <x:f>IF(ROW()-4&lt;DATE('00_Eingabe'!$B$7+1,1,1)-DATE('00_Eingabe'!$B$7,1,1),DATE('00_Eingabe'!$B$7,1,1)+ROW()-4,"")</x:f>
        <x:v>45749</x:v>
      </x:c>
      <x:c r="B95" s="122" t="str">
        <x:f>IF(A95="","",IF(OR(AND(MONTH(A95)=12,DAY(A95)&gt;=20),AND(MONTH(A95)=1,DAY(A95)&lt;=2)),"Weihnachten",IF(OR(AND(MONTH(A95)=11,DAY(A95)&gt;=24),AND(MONTH(A95)=12,DAY(A95)&lt;=7)),"Betriebsferien",IF(OR(AND(MONTH(A95)=1,DAY(A95)&gt;=3),MONTH(A95)=2,MONTH(A95)=3,MONTH(A95)=4,MONTH(A95)=10,MONTH(A95)=11,AND(MONTH(A95)=12,DAY(A95)&lt;=15)),"Nebensaison","Hauptsaison"))))</x:f>
        <x:v>Nebensaison</x:v>
      </x:c>
      <x:c r="C95" s="122" t="str">
        <x:f>IF(A95="","",IF(WEEKDAY(A95,2)&gt;=6,"Wochenende","Unterwoche"))</x:f>
        <x:v>Unterwoche</x:v>
      </x:c>
      <x:c r="D95" s="123" t="n">
        <x:f>IF(A95="","",IF(N95&lt;&gt;"",N95,IF(B95="Nebensaison",IF(C95="Wochenende",'00_Eingabe'!$C$24,'00_Eingabe'!$B$24),IF(B95="Hauptsaison",IF(C95="Wochenende",'00_Eingabe'!$C$25,'00_Eingabe'!$B$25),IF(B95="Weihnachten",IF(C95="Wochenende",'00_Eingabe'!$C$26,'00_Eingabe'!$B$26),IF(C95="Wochenende",'00_Eingabe'!$C$27,'00_Eingabe'!$B$27))))))</x:f>
        <x:v>0.7</x:v>
      </x:c>
      <x:c r="E95" s="122" t="n">
        <x:f>IF(OR(A95="",D95=""),"",ROUND('00_Eingabe'!$B$8*D95,0))</x:f>
        <x:v>25</x:v>
      </x:c>
      <x:c r="F95" s="122" t="n">
        <x:f>IF(E95="","",ROUND(E95*'00_Eingabe'!$B$18,0))</x:f>
        <x:v>48</x:v>
      </x:c>
      <x:c r="G95" s="123" t="n">
        <x:f>IF(A95="","",IF(O95&lt;&gt;"",O95,IF(B95="Nebensaison",IF(C95="Wochenende",'00_Eingabe'!$E$24,'00_Eingabe'!$D$24),IF(B95="Hauptsaison",IF(C95="Wochenende",'00_Eingabe'!$E$25,'00_Eingabe'!$D$25),IF(B95="Weihnachten",IF(C95="Wochenende",'00_Eingabe'!$E$26,'00_Eingabe'!$D$26),IF(C95="Wochenende",'00_Eingabe'!$E$27,'00_Eingabe'!$D$27))))))</x:f>
        <x:v>0.7</x:v>
      </x:c>
      <x:c r="H95" s="122" t="n">
        <x:f>IF(OR(A95="",G95=""),"",ROUND('00_Eingabe'!$B$9*G95,0))</x:f>
        <x:v>3</x:v>
      </x:c>
      <x:c r="I95" s="122" t="n">
        <x:f>IF(H95="","",ROUND(H95*'00_Eingabe'!$B$19,0))</x:f>
        <x:v>7</x:v>
      </x:c>
      <x:c r="J95" s="122" t="n">
        <x:f>IF(OR(F95="",I95=""),"",F95+I95)</x:f>
        <x:v>55</x:v>
      </x:c>
      <x:c r="K95" s="122" t="n">
        <x:f>IF(J95="","",ROUND(J95*'00_Eingabe'!$B$16*(1+'00_Eingabe'!$B$14),0))</x:f>
        <x:v>63</x:v>
      </x:c>
      <x:c r="L95" s="122" t="n">
        <x:f>IF(B95="Betriebsferien",0,ROUND(J95*'00_Eingabe'!$B$40,0)+IF(C95="Wochenende",'00_Eingabe'!$B$42,'00_Eingabe'!$B$41))</x:f>
        <x:v>55</x:v>
      </x:c>
      <x:c r="M95" s="123" t="n">
        <x:f>IF(J95="","",ROUND(J95*'00_Eingabe'!$B$17*(1+'00_Eingabe'!$B$15),0))</x:f>
        <x:v>63</x:v>
      </x:c>
      <x:c r="N95" s="106"/>
      <x:c r="O95" s="106"/>
      <x:c r="P95" s="116"/>
      <x:c r="Q95" s="213" t="n">
        <x:f>IF(C95="Wochenende",1,0)</x:f>
        <x:v>0</x:v>
      </x:c>
      <x:c r="R95" s="213" t="n">
        <x:f>IF(AND(B95&lt;&gt;"Betriebsferien",OR(WEEKDAY(A95,2)=2,WEEKDAY(A95,2)=4)),1,0)</x:f>
        <x:v>0</x:v>
      </x:c>
      <x:c r="S95" s="214" t="n">
        <x:f>R95*MIN(1,'00_Eingabe'!$B$62/'00_Eingabe'!$B$61)</x:f>
        <x:v>0</x:v>
      </x:c>
      <x:c r="T95" s="213" t="n">
        <x:f>IF(B95="Betriebsferien",0,IF(B95="Nebensaison",IF(OR(WEEKDAY(A95,2)=1,WEEKDAY(A95,2)=3,WEEKDAY(A95,2)=5),1,0),IF(C95="Unterwoche",1,0)))</x:f>
        <x:v>1</x:v>
      </x:c>
      <x:c r="U95" s="213" t="n">
        <x:f>IF(B95="Betriebsferien",0,'00_Eingabe'!$G$24)</x:f>
        <x:v>8</x:v>
      </x:c>
    </x:row>
    <x:row r="96">
      <x:c r="A96" s="121" t="n">
        <x:f>IF(ROW()-4&lt;DATE('00_Eingabe'!$B$7+1,1,1)-DATE('00_Eingabe'!$B$7,1,1),DATE('00_Eingabe'!$B$7,1,1)+ROW()-4,"")</x:f>
        <x:v>45750</x:v>
      </x:c>
      <x:c r="B96" s="122" t="str">
        <x:f>IF(A96="","",IF(OR(AND(MONTH(A96)=12,DAY(A96)&gt;=20),AND(MONTH(A96)=1,DAY(A96)&lt;=2)),"Weihnachten",IF(OR(AND(MONTH(A96)=11,DAY(A96)&gt;=24),AND(MONTH(A96)=12,DAY(A96)&lt;=7)),"Betriebsferien",IF(OR(AND(MONTH(A96)=1,DAY(A96)&gt;=3),MONTH(A96)=2,MONTH(A96)=3,MONTH(A96)=4,MONTH(A96)=10,MONTH(A96)=11,AND(MONTH(A96)=12,DAY(A96)&lt;=15)),"Nebensaison","Hauptsaison"))))</x:f>
        <x:v>Nebensaison</x:v>
      </x:c>
      <x:c r="C96" s="122" t="str">
        <x:f>IF(A96="","",IF(WEEKDAY(A96,2)&gt;=6,"Wochenende","Unterwoche"))</x:f>
        <x:v>Unterwoche</x:v>
      </x:c>
      <x:c r="D96" s="123" t="n">
        <x:f>IF(A96="","",IF(N96&lt;&gt;"",N96,IF(B96="Nebensaison",IF(C96="Wochenende",'00_Eingabe'!$C$24,'00_Eingabe'!$B$24),IF(B96="Hauptsaison",IF(C96="Wochenende",'00_Eingabe'!$C$25,'00_Eingabe'!$B$25),IF(B96="Weihnachten",IF(C96="Wochenende",'00_Eingabe'!$C$26,'00_Eingabe'!$B$26),IF(C96="Wochenende",'00_Eingabe'!$C$27,'00_Eingabe'!$B$27))))))</x:f>
        <x:v>0.7</x:v>
      </x:c>
      <x:c r="E96" s="122" t="n">
        <x:f>IF(OR(A96="",D96=""),"",ROUND('00_Eingabe'!$B$8*D96,0))</x:f>
        <x:v>25</x:v>
      </x:c>
      <x:c r="F96" s="122" t="n">
        <x:f>IF(E96="","",ROUND(E96*'00_Eingabe'!$B$18,0))</x:f>
        <x:v>48</x:v>
      </x:c>
      <x:c r="G96" s="123" t="n">
        <x:f>IF(A96="","",IF(O96&lt;&gt;"",O96,IF(B96="Nebensaison",IF(C96="Wochenende",'00_Eingabe'!$E$24,'00_Eingabe'!$D$24),IF(B96="Hauptsaison",IF(C96="Wochenende",'00_Eingabe'!$E$25,'00_Eingabe'!$D$25),IF(B96="Weihnachten",IF(C96="Wochenende",'00_Eingabe'!$E$26,'00_Eingabe'!$D$26),IF(C96="Wochenende",'00_Eingabe'!$E$27,'00_Eingabe'!$D$27))))))</x:f>
        <x:v>0.7</x:v>
      </x:c>
      <x:c r="H96" s="122" t="n">
        <x:f>IF(OR(A96="",G96=""),"",ROUND('00_Eingabe'!$B$9*G96,0))</x:f>
        <x:v>3</x:v>
      </x:c>
      <x:c r="I96" s="122" t="n">
        <x:f>IF(H96="","",ROUND(H96*'00_Eingabe'!$B$19,0))</x:f>
        <x:v>7</x:v>
      </x:c>
      <x:c r="J96" s="122" t="n">
        <x:f>IF(OR(F96="",I96=""),"",F96+I96)</x:f>
        <x:v>55</x:v>
      </x:c>
      <x:c r="K96" s="122" t="n">
        <x:f>IF(J96="","",ROUND(J96*'00_Eingabe'!$B$16*(1+'00_Eingabe'!$B$14),0))</x:f>
        <x:v>63</x:v>
      </x:c>
      <x:c r="L96" s="122" t="n">
        <x:f>IF(B96="Betriebsferien",0,ROUND(J96*'00_Eingabe'!$B$40,0)+IF(C96="Wochenende",'00_Eingabe'!$B$42,'00_Eingabe'!$B$41))</x:f>
        <x:v>55</x:v>
      </x:c>
      <x:c r="M96" s="123" t="n">
        <x:f>IF(J96="","",ROUND(J96*'00_Eingabe'!$B$17*(1+'00_Eingabe'!$B$15),0))</x:f>
        <x:v>63</x:v>
      </x:c>
      <x:c r="N96" s="106"/>
      <x:c r="O96" s="106"/>
      <x:c r="P96" s="116"/>
      <x:c r="Q96" s="213" t="n">
        <x:f>IF(C96="Wochenende",1,0)</x:f>
        <x:v>0</x:v>
      </x:c>
      <x:c r="R96" s="213" t="n">
        <x:f>IF(AND(B96&lt;&gt;"Betriebsferien",OR(WEEKDAY(A96,2)=2,WEEKDAY(A96,2)=4)),1,0)</x:f>
        <x:v>1</x:v>
      </x:c>
      <x:c r="S96" s="214" t="n">
        <x:f>R96*MIN(1,'00_Eingabe'!$B$62/'00_Eingabe'!$B$61)</x:f>
        <x:v>0.5</x:v>
      </x:c>
      <x:c r="T96" s="213" t="n">
        <x:f>IF(B96="Betriebsferien",0,IF(B96="Nebensaison",IF(OR(WEEKDAY(A96,2)=1,WEEKDAY(A96,2)=3,WEEKDAY(A96,2)=5),1,0),IF(C96="Unterwoche",1,0)))</x:f>
        <x:v>0</x:v>
      </x:c>
      <x:c r="U96" s="213" t="n">
        <x:f>IF(B96="Betriebsferien",0,'00_Eingabe'!$G$24)</x:f>
        <x:v>8</x:v>
      </x:c>
    </x:row>
    <x:row r="97">
      <x:c r="A97" s="121" t="n">
        <x:f>IF(ROW()-4&lt;DATE('00_Eingabe'!$B$7+1,1,1)-DATE('00_Eingabe'!$B$7,1,1),DATE('00_Eingabe'!$B$7,1,1)+ROW()-4,"")</x:f>
        <x:v>45751</x:v>
      </x:c>
      <x:c r="B97" s="122" t="str">
        <x:f>IF(A97="","",IF(OR(AND(MONTH(A97)=12,DAY(A97)&gt;=20),AND(MONTH(A97)=1,DAY(A97)&lt;=2)),"Weihnachten",IF(OR(AND(MONTH(A97)=11,DAY(A97)&gt;=24),AND(MONTH(A97)=12,DAY(A97)&lt;=7)),"Betriebsferien",IF(OR(AND(MONTH(A97)=1,DAY(A97)&gt;=3),MONTH(A97)=2,MONTH(A97)=3,MONTH(A97)=4,MONTH(A97)=10,MONTH(A97)=11,AND(MONTH(A97)=12,DAY(A97)&lt;=15)),"Nebensaison","Hauptsaison"))))</x:f>
        <x:v>Nebensaison</x:v>
      </x:c>
      <x:c r="C97" s="122" t="str">
        <x:f>IF(A97="","",IF(WEEKDAY(A97,2)&gt;=6,"Wochenende","Unterwoche"))</x:f>
        <x:v>Unterwoche</x:v>
      </x:c>
      <x:c r="D97" s="123" t="n">
        <x:f>IF(A97="","",IF(N97&lt;&gt;"",N97,IF(B97="Nebensaison",IF(C97="Wochenende",'00_Eingabe'!$C$24,'00_Eingabe'!$B$24),IF(B97="Hauptsaison",IF(C97="Wochenende",'00_Eingabe'!$C$25,'00_Eingabe'!$B$25),IF(B97="Weihnachten",IF(C97="Wochenende",'00_Eingabe'!$C$26,'00_Eingabe'!$B$26),IF(C97="Wochenende",'00_Eingabe'!$C$27,'00_Eingabe'!$B$27))))))</x:f>
        <x:v>0.7</x:v>
      </x:c>
      <x:c r="E97" s="122" t="n">
        <x:f>IF(OR(A97="",D97=""),"",ROUND('00_Eingabe'!$B$8*D97,0))</x:f>
        <x:v>25</x:v>
      </x:c>
      <x:c r="F97" s="122" t="n">
        <x:f>IF(E97="","",ROUND(E97*'00_Eingabe'!$B$18,0))</x:f>
        <x:v>48</x:v>
      </x:c>
      <x:c r="G97" s="123" t="n">
        <x:f>IF(A97="","",IF(O97&lt;&gt;"",O97,IF(B97="Nebensaison",IF(C97="Wochenende",'00_Eingabe'!$E$24,'00_Eingabe'!$D$24),IF(B97="Hauptsaison",IF(C97="Wochenende",'00_Eingabe'!$E$25,'00_Eingabe'!$D$25),IF(B97="Weihnachten",IF(C97="Wochenende",'00_Eingabe'!$E$26,'00_Eingabe'!$D$26),IF(C97="Wochenende",'00_Eingabe'!$E$27,'00_Eingabe'!$D$27))))))</x:f>
        <x:v>0.7</x:v>
      </x:c>
      <x:c r="H97" s="122" t="n">
        <x:f>IF(OR(A97="",G97=""),"",ROUND('00_Eingabe'!$B$9*G97,0))</x:f>
        <x:v>3</x:v>
      </x:c>
      <x:c r="I97" s="122" t="n">
        <x:f>IF(H97="","",ROUND(H97*'00_Eingabe'!$B$19,0))</x:f>
        <x:v>7</x:v>
      </x:c>
      <x:c r="J97" s="122" t="n">
        <x:f>IF(OR(F97="",I97=""),"",F97+I97)</x:f>
        <x:v>55</x:v>
      </x:c>
      <x:c r="K97" s="122" t="n">
        <x:f>IF(J97="","",ROUND(J97*'00_Eingabe'!$B$16*(1+'00_Eingabe'!$B$14),0))</x:f>
        <x:v>63</x:v>
      </x:c>
      <x:c r="L97" s="122" t="n">
        <x:f>IF(B97="Betriebsferien",0,ROUND(J97*'00_Eingabe'!$B$40,0)+IF(C97="Wochenende",'00_Eingabe'!$B$42,'00_Eingabe'!$B$41))</x:f>
        <x:v>55</x:v>
      </x:c>
      <x:c r="M97" s="123" t="n">
        <x:f>IF(J97="","",ROUND(J97*'00_Eingabe'!$B$17*(1+'00_Eingabe'!$B$15),0))</x:f>
        <x:v>63</x:v>
      </x:c>
      <x:c r="N97" s="106"/>
      <x:c r="O97" s="106"/>
      <x:c r="P97" s="116"/>
      <x:c r="Q97" s="213" t="n">
        <x:f>IF(C97="Wochenende",1,0)</x:f>
        <x:v>0</x:v>
      </x:c>
      <x:c r="R97" s="213" t="n">
        <x:f>IF(AND(B97&lt;&gt;"Betriebsferien",OR(WEEKDAY(A97,2)=2,WEEKDAY(A97,2)=4)),1,0)</x:f>
        <x:v>0</x:v>
      </x:c>
      <x:c r="S97" s="214" t="n">
        <x:f>R97*MIN(1,'00_Eingabe'!$B$62/'00_Eingabe'!$B$61)</x:f>
        <x:v>0</x:v>
      </x:c>
      <x:c r="T97" s="213" t="n">
        <x:f>IF(B97="Betriebsferien",0,IF(B97="Nebensaison",IF(OR(WEEKDAY(A97,2)=1,WEEKDAY(A97,2)=3,WEEKDAY(A97,2)=5),1,0),IF(C97="Unterwoche",1,0)))</x:f>
        <x:v>1</x:v>
      </x:c>
      <x:c r="U97" s="213" t="n">
        <x:f>IF(B97="Betriebsferien",0,'00_Eingabe'!$G$24)</x:f>
        <x:v>8</x:v>
      </x:c>
    </x:row>
    <x:row r="98">
      <x:c r="A98" s="121" t="n">
        <x:f>IF(ROW()-4&lt;DATE('00_Eingabe'!$B$7+1,1,1)-DATE('00_Eingabe'!$B$7,1,1),DATE('00_Eingabe'!$B$7,1,1)+ROW()-4,"")</x:f>
        <x:v>45752</x:v>
      </x:c>
      <x:c r="B98" s="122" t="str">
        <x:f>IF(A98="","",IF(OR(AND(MONTH(A98)=12,DAY(A98)&gt;=20),AND(MONTH(A98)=1,DAY(A98)&lt;=2)),"Weihnachten",IF(OR(AND(MONTH(A98)=11,DAY(A98)&gt;=24),AND(MONTH(A98)=12,DAY(A98)&lt;=7)),"Betriebsferien",IF(OR(AND(MONTH(A98)=1,DAY(A98)&gt;=3),MONTH(A98)=2,MONTH(A98)=3,MONTH(A98)=4,MONTH(A98)=10,MONTH(A98)=11,AND(MONTH(A98)=12,DAY(A98)&lt;=15)),"Nebensaison","Hauptsaison"))))</x:f>
        <x:v>Nebensaison</x:v>
      </x:c>
      <x:c r="C98" s="122" t="str">
        <x:f>IF(A98="","",IF(WEEKDAY(A98,2)&gt;=6,"Wochenende","Unterwoche"))</x:f>
        <x:v>Wochenende</x:v>
      </x:c>
      <x:c r="D98" s="123" t="n">
        <x:f>IF(A98="","",IF(N98&lt;&gt;"",N98,IF(B98="Nebensaison",IF(C98="Wochenende",'00_Eingabe'!$C$24,'00_Eingabe'!$B$24),IF(B98="Hauptsaison",IF(C98="Wochenende",'00_Eingabe'!$C$25,'00_Eingabe'!$B$25),IF(B98="Weihnachten",IF(C98="Wochenende",'00_Eingabe'!$C$26,'00_Eingabe'!$B$26),IF(C98="Wochenende",'00_Eingabe'!$C$27,'00_Eingabe'!$B$27))))))</x:f>
        <x:v>0.75</x:v>
      </x:c>
      <x:c r="E98" s="122" t="n">
        <x:f>IF(OR(A98="",D98=""),"",ROUND('00_Eingabe'!$B$8*D98,0))</x:f>
        <x:v>26</x:v>
      </x:c>
      <x:c r="F98" s="122" t="n">
        <x:f>IF(E98="","",ROUND(E98*'00_Eingabe'!$B$18,0))</x:f>
        <x:v>49</x:v>
      </x:c>
      <x:c r="G98" s="123" t="n">
        <x:f>IF(A98="","",IF(O98&lt;&gt;"",O98,IF(B98="Nebensaison",IF(C98="Wochenende",'00_Eingabe'!$E$24,'00_Eingabe'!$D$24),IF(B98="Hauptsaison",IF(C98="Wochenende",'00_Eingabe'!$E$25,'00_Eingabe'!$D$25),IF(B98="Weihnachten",IF(C98="Wochenende",'00_Eingabe'!$E$26,'00_Eingabe'!$D$26),IF(C98="Wochenende",'00_Eingabe'!$E$27,'00_Eingabe'!$D$27))))))</x:f>
        <x:v>0.75</x:v>
      </x:c>
      <x:c r="H98" s="122" t="n">
        <x:f>IF(OR(A98="",G98=""),"",ROUND('00_Eingabe'!$B$9*G98,0))</x:f>
        <x:v>3</x:v>
      </x:c>
      <x:c r="I98" s="122" t="n">
        <x:f>IF(H98="","",ROUND(H98*'00_Eingabe'!$B$19,0))</x:f>
        <x:v>7</x:v>
      </x:c>
      <x:c r="J98" s="122" t="n">
        <x:f>IF(OR(F98="",I98=""),"",F98+I98)</x:f>
        <x:v>56</x:v>
      </x:c>
      <x:c r="K98" s="122" t="n">
        <x:f>IF(J98="","",ROUND(J98*'00_Eingabe'!$B$16*(1+'00_Eingabe'!$B$14),0))</x:f>
        <x:v>64</x:v>
      </x:c>
      <x:c r="L98" s="122" t="n">
        <x:f>IF(B98="Betriebsferien",0,ROUND(J98*'00_Eingabe'!$B$40,0)+IF(C98="Wochenende",'00_Eingabe'!$B$42,'00_Eingabe'!$B$41))</x:f>
        <x:v>80</x:v>
      </x:c>
      <x:c r="M98" s="123" t="n">
        <x:f>IF(J98="","",ROUND(J98*'00_Eingabe'!$B$17*(1+'00_Eingabe'!$B$15),0))</x:f>
        <x:v>64</x:v>
      </x:c>
      <x:c r="N98" s="106"/>
      <x:c r="O98" s="106"/>
      <x:c r="P98" s="116"/>
      <x:c r="Q98" s="213" t="n">
        <x:f>IF(C98="Wochenende",1,0)</x:f>
        <x:v>1</x:v>
      </x:c>
      <x:c r="R98" s="213" t="n">
        <x:f>IF(AND(B98&lt;&gt;"Betriebsferien",OR(WEEKDAY(A98,2)=2,WEEKDAY(A98,2)=4)),1,0)</x:f>
        <x:v>0</x:v>
      </x:c>
      <x:c r="S98" s="214" t="n">
        <x:f>R98*MIN(1,'00_Eingabe'!$B$62/'00_Eingabe'!$B$61)</x:f>
        <x:v>0</x:v>
      </x:c>
      <x:c r="T98" s="213" t="n">
        <x:f>IF(B98="Betriebsferien",0,IF(B98="Nebensaison",IF(OR(WEEKDAY(A98,2)=1,WEEKDAY(A98,2)=3,WEEKDAY(A98,2)=5),1,0),IF(C98="Unterwoche",1,0)))</x:f>
        <x:v>0</x:v>
      </x:c>
      <x:c r="U98" s="213" t="n">
        <x:f>IF(B98="Betriebsferien",0,'00_Eingabe'!$G$24)</x:f>
        <x:v>8</x:v>
      </x:c>
    </x:row>
    <x:row r="99">
      <x:c r="A99" s="121" t="n">
        <x:f>IF(ROW()-4&lt;DATE('00_Eingabe'!$B$7+1,1,1)-DATE('00_Eingabe'!$B$7,1,1),DATE('00_Eingabe'!$B$7,1,1)+ROW()-4,"")</x:f>
        <x:v>45753</x:v>
      </x:c>
      <x:c r="B99" s="122" t="str">
        <x:f>IF(A99="","",IF(OR(AND(MONTH(A99)=12,DAY(A99)&gt;=20),AND(MONTH(A99)=1,DAY(A99)&lt;=2)),"Weihnachten",IF(OR(AND(MONTH(A99)=11,DAY(A99)&gt;=24),AND(MONTH(A99)=12,DAY(A99)&lt;=7)),"Betriebsferien",IF(OR(AND(MONTH(A99)=1,DAY(A99)&gt;=3),MONTH(A99)=2,MONTH(A99)=3,MONTH(A99)=4,MONTH(A99)=10,MONTH(A99)=11,AND(MONTH(A99)=12,DAY(A99)&lt;=15)),"Nebensaison","Hauptsaison"))))</x:f>
        <x:v>Nebensaison</x:v>
      </x:c>
      <x:c r="C99" s="122" t="str">
        <x:f>IF(A99="","",IF(WEEKDAY(A99,2)&gt;=6,"Wochenende","Unterwoche"))</x:f>
        <x:v>Wochenende</x:v>
      </x:c>
      <x:c r="D99" s="123" t="n">
        <x:f>IF(A99="","",IF(N99&lt;&gt;"",N99,IF(B99="Nebensaison",IF(C99="Wochenende",'00_Eingabe'!$C$24,'00_Eingabe'!$B$24),IF(B99="Hauptsaison",IF(C99="Wochenende",'00_Eingabe'!$C$25,'00_Eingabe'!$B$25),IF(B99="Weihnachten",IF(C99="Wochenende",'00_Eingabe'!$C$26,'00_Eingabe'!$B$26),IF(C99="Wochenende",'00_Eingabe'!$C$27,'00_Eingabe'!$B$27))))))</x:f>
        <x:v>0.75</x:v>
      </x:c>
      <x:c r="E99" s="122" t="n">
        <x:f>IF(OR(A99="",D99=""),"",ROUND('00_Eingabe'!$B$8*D99,0))</x:f>
        <x:v>26</x:v>
      </x:c>
      <x:c r="F99" s="122" t="n">
        <x:f>IF(E99="","",ROUND(E99*'00_Eingabe'!$B$18,0))</x:f>
        <x:v>49</x:v>
      </x:c>
      <x:c r="G99" s="123" t="n">
        <x:f>IF(A99="","",IF(O99&lt;&gt;"",O99,IF(B99="Nebensaison",IF(C99="Wochenende",'00_Eingabe'!$E$24,'00_Eingabe'!$D$24),IF(B99="Hauptsaison",IF(C99="Wochenende",'00_Eingabe'!$E$25,'00_Eingabe'!$D$25),IF(B99="Weihnachten",IF(C99="Wochenende",'00_Eingabe'!$E$26,'00_Eingabe'!$D$26),IF(C99="Wochenende",'00_Eingabe'!$E$27,'00_Eingabe'!$D$27))))))</x:f>
        <x:v>0.75</x:v>
      </x:c>
      <x:c r="H99" s="122" t="n">
        <x:f>IF(OR(A99="",G99=""),"",ROUND('00_Eingabe'!$B$9*G99,0))</x:f>
        <x:v>3</x:v>
      </x:c>
      <x:c r="I99" s="122" t="n">
        <x:f>IF(H99="","",ROUND(H99*'00_Eingabe'!$B$19,0))</x:f>
        <x:v>7</x:v>
      </x:c>
      <x:c r="J99" s="122" t="n">
        <x:f>IF(OR(F99="",I99=""),"",F99+I99)</x:f>
        <x:v>56</x:v>
      </x:c>
      <x:c r="K99" s="122" t="n">
        <x:f>IF(J99="","",ROUND(J99*'00_Eingabe'!$B$16*(1+'00_Eingabe'!$B$14),0))</x:f>
        <x:v>64</x:v>
      </x:c>
      <x:c r="L99" s="122" t="n">
        <x:f>IF(B99="Betriebsferien",0,ROUND(J99*'00_Eingabe'!$B$40,0)+IF(C99="Wochenende",'00_Eingabe'!$B$42,'00_Eingabe'!$B$41))</x:f>
        <x:v>80</x:v>
      </x:c>
      <x:c r="M99" s="123" t="n">
        <x:f>IF(J99="","",ROUND(J99*'00_Eingabe'!$B$17*(1+'00_Eingabe'!$B$15),0))</x:f>
        <x:v>64</x:v>
      </x:c>
      <x:c r="N99" s="106"/>
      <x:c r="O99" s="106"/>
      <x:c r="P99" s="116"/>
      <x:c r="Q99" s="213" t="n">
        <x:f>IF(C99="Wochenende",1,0)</x:f>
        <x:v>1</x:v>
      </x:c>
      <x:c r="R99" s="213" t="n">
        <x:f>IF(AND(B99&lt;&gt;"Betriebsferien",OR(WEEKDAY(A99,2)=2,WEEKDAY(A99,2)=4)),1,0)</x:f>
        <x:v>0</x:v>
      </x:c>
      <x:c r="S99" s="214" t="n">
        <x:f>R99*MIN(1,'00_Eingabe'!$B$62/'00_Eingabe'!$B$61)</x:f>
        <x:v>0</x:v>
      </x:c>
      <x:c r="T99" s="213" t="n">
        <x:f>IF(B99="Betriebsferien",0,IF(B99="Nebensaison",IF(OR(WEEKDAY(A99,2)=1,WEEKDAY(A99,2)=3,WEEKDAY(A99,2)=5),1,0),IF(C99="Unterwoche",1,0)))</x:f>
        <x:v>0</x:v>
      </x:c>
      <x:c r="U99" s="213" t="n">
        <x:f>IF(B99="Betriebsferien",0,'00_Eingabe'!$G$24)</x:f>
        <x:v>8</x:v>
      </x:c>
    </x:row>
    <x:row r="100">
      <x:c r="A100" s="121" t="n">
        <x:f>IF(ROW()-4&lt;DATE('00_Eingabe'!$B$7+1,1,1)-DATE('00_Eingabe'!$B$7,1,1),DATE('00_Eingabe'!$B$7,1,1)+ROW()-4,"")</x:f>
        <x:v>45754</x:v>
      </x:c>
      <x:c r="B100" s="122" t="str">
        <x:f>IF(A100="","",IF(OR(AND(MONTH(A100)=12,DAY(A100)&gt;=20),AND(MONTH(A100)=1,DAY(A100)&lt;=2)),"Weihnachten",IF(OR(AND(MONTH(A100)=11,DAY(A100)&gt;=24),AND(MONTH(A100)=12,DAY(A100)&lt;=7)),"Betriebsferien",IF(OR(AND(MONTH(A100)=1,DAY(A100)&gt;=3),MONTH(A100)=2,MONTH(A100)=3,MONTH(A100)=4,MONTH(A100)=10,MONTH(A100)=11,AND(MONTH(A100)=12,DAY(A100)&lt;=15)),"Nebensaison","Hauptsaison"))))</x:f>
        <x:v>Nebensaison</x:v>
      </x:c>
      <x:c r="C100" s="122" t="str">
        <x:f>IF(A100="","",IF(WEEKDAY(A100,2)&gt;=6,"Wochenende","Unterwoche"))</x:f>
        <x:v>Unterwoche</x:v>
      </x:c>
      <x:c r="D100" s="123" t="n">
        <x:f>IF(A100="","",IF(N100&lt;&gt;"",N100,IF(B100="Nebensaison",IF(C100="Wochenende",'00_Eingabe'!$C$24,'00_Eingabe'!$B$24),IF(B100="Hauptsaison",IF(C100="Wochenende",'00_Eingabe'!$C$25,'00_Eingabe'!$B$25),IF(B100="Weihnachten",IF(C100="Wochenende",'00_Eingabe'!$C$26,'00_Eingabe'!$B$26),IF(C100="Wochenende",'00_Eingabe'!$C$27,'00_Eingabe'!$B$27))))))</x:f>
        <x:v>0.7</x:v>
      </x:c>
      <x:c r="E100" s="122" t="n">
        <x:f>IF(OR(A100="",D100=""),"",ROUND('00_Eingabe'!$B$8*D100,0))</x:f>
        <x:v>25</x:v>
      </x:c>
      <x:c r="F100" s="122" t="n">
        <x:f>IF(E100="","",ROUND(E100*'00_Eingabe'!$B$18,0))</x:f>
        <x:v>48</x:v>
      </x:c>
      <x:c r="G100" s="123" t="n">
        <x:f>IF(A100="","",IF(O100&lt;&gt;"",O100,IF(B100="Nebensaison",IF(C100="Wochenende",'00_Eingabe'!$E$24,'00_Eingabe'!$D$24),IF(B100="Hauptsaison",IF(C100="Wochenende",'00_Eingabe'!$E$25,'00_Eingabe'!$D$25),IF(B100="Weihnachten",IF(C100="Wochenende",'00_Eingabe'!$E$26,'00_Eingabe'!$D$26),IF(C100="Wochenende",'00_Eingabe'!$E$27,'00_Eingabe'!$D$27))))))</x:f>
        <x:v>0.7</x:v>
      </x:c>
      <x:c r="H100" s="122" t="n">
        <x:f>IF(OR(A100="",G100=""),"",ROUND('00_Eingabe'!$B$9*G100,0))</x:f>
        <x:v>3</x:v>
      </x:c>
      <x:c r="I100" s="122" t="n">
        <x:f>IF(H100="","",ROUND(H100*'00_Eingabe'!$B$19,0))</x:f>
        <x:v>7</x:v>
      </x:c>
      <x:c r="J100" s="122" t="n">
        <x:f>IF(OR(F100="",I100=""),"",F100+I100)</x:f>
        <x:v>55</x:v>
      </x:c>
      <x:c r="K100" s="122" t="n">
        <x:f>IF(J100="","",ROUND(J100*'00_Eingabe'!$B$16*(1+'00_Eingabe'!$B$14),0))</x:f>
        <x:v>63</x:v>
      </x:c>
      <x:c r="L100" s="122" t="n">
        <x:f>IF(B100="Betriebsferien",0,ROUND(J100*'00_Eingabe'!$B$40,0)+IF(C100="Wochenende",'00_Eingabe'!$B$42,'00_Eingabe'!$B$41))</x:f>
        <x:v>55</x:v>
      </x:c>
      <x:c r="M100" s="123" t="n">
        <x:f>IF(J100="","",ROUND(J100*'00_Eingabe'!$B$17*(1+'00_Eingabe'!$B$15),0))</x:f>
        <x:v>63</x:v>
      </x:c>
      <x:c r="N100" s="106"/>
      <x:c r="O100" s="106"/>
      <x:c r="P100" s="116"/>
      <x:c r="Q100" s="213" t="n">
        <x:f>IF(C100="Wochenende",1,0)</x:f>
        <x:v>0</x:v>
      </x:c>
      <x:c r="R100" s="213" t="n">
        <x:f>IF(AND(B100&lt;&gt;"Betriebsferien",OR(WEEKDAY(A100,2)=2,WEEKDAY(A100,2)=4)),1,0)</x:f>
        <x:v>0</x:v>
      </x:c>
      <x:c r="S100" s="214" t="n">
        <x:f>R100*MIN(1,'00_Eingabe'!$B$62/'00_Eingabe'!$B$61)</x:f>
        <x:v>0</x:v>
      </x:c>
      <x:c r="T100" s="213" t="n">
        <x:f>IF(B100="Betriebsferien",0,IF(B100="Nebensaison",IF(OR(WEEKDAY(A100,2)=1,WEEKDAY(A100,2)=3,WEEKDAY(A100,2)=5),1,0),IF(C100="Unterwoche",1,0)))</x:f>
        <x:v>1</x:v>
      </x:c>
      <x:c r="U100" s="213" t="n">
        <x:f>IF(B100="Betriebsferien",0,'00_Eingabe'!$G$24)</x:f>
        <x:v>8</x:v>
      </x:c>
    </x:row>
    <x:row r="101">
      <x:c r="A101" s="121" t="n">
        <x:f>IF(ROW()-4&lt;DATE('00_Eingabe'!$B$7+1,1,1)-DATE('00_Eingabe'!$B$7,1,1),DATE('00_Eingabe'!$B$7,1,1)+ROW()-4,"")</x:f>
        <x:v>45755</x:v>
      </x:c>
      <x:c r="B101" s="122" t="str">
        <x:f>IF(A101="","",IF(OR(AND(MONTH(A101)=12,DAY(A101)&gt;=20),AND(MONTH(A101)=1,DAY(A101)&lt;=2)),"Weihnachten",IF(OR(AND(MONTH(A101)=11,DAY(A101)&gt;=24),AND(MONTH(A101)=12,DAY(A101)&lt;=7)),"Betriebsferien",IF(OR(AND(MONTH(A101)=1,DAY(A101)&gt;=3),MONTH(A101)=2,MONTH(A101)=3,MONTH(A101)=4,MONTH(A101)=10,MONTH(A101)=11,AND(MONTH(A101)=12,DAY(A101)&lt;=15)),"Nebensaison","Hauptsaison"))))</x:f>
        <x:v>Nebensaison</x:v>
      </x:c>
      <x:c r="C101" s="122" t="str">
        <x:f>IF(A101="","",IF(WEEKDAY(A101,2)&gt;=6,"Wochenende","Unterwoche"))</x:f>
        <x:v>Unterwoche</x:v>
      </x:c>
      <x:c r="D101" s="123" t="n">
        <x:f>IF(A101="","",IF(N101&lt;&gt;"",N101,IF(B101="Nebensaison",IF(C101="Wochenende",'00_Eingabe'!$C$24,'00_Eingabe'!$B$24),IF(B101="Hauptsaison",IF(C101="Wochenende",'00_Eingabe'!$C$25,'00_Eingabe'!$B$25),IF(B101="Weihnachten",IF(C101="Wochenende",'00_Eingabe'!$C$26,'00_Eingabe'!$B$26),IF(C101="Wochenende",'00_Eingabe'!$C$27,'00_Eingabe'!$B$27))))))</x:f>
        <x:v>0.7</x:v>
      </x:c>
      <x:c r="E101" s="122" t="n">
        <x:f>IF(OR(A101="",D101=""),"",ROUND('00_Eingabe'!$B$8*D101,0))</x:f>
        <x:v>25</x:v>
      </x:c>
      <x:c r="F101" s="122" t="n">
        <x:f>IF(E101="","",ROUND(E101*'00_Eingabe'!$B$18,0))</x:f>
        <x:v>48</x:v>
      </x:c>
      <x:c r="G101" s="123" t="n">
        <x:f>IF(A101="","",IF(O101&lt;&gt;"",O101,IF(B101="Nebensaison",IF(C101="Wochenende",'00_Eingabe'!$E$24,'00_Eingabe'!$D$24),IF(B101="Hauptsaison",IF(C101="Wochenende",'00_Eingabe'!$E$25,'00_Eingabe'!$D$25),IF(B101="Weihnachten",IF(C101="Wochenende",'00_Eingabe'!$E$26,'00_Eingabe'!$D$26),IF(C101="Wochenende",'00_Eingabe'!$E$27,'00_Eingabe'!$D$27))))))</x:f>
        <x:v>0.7</x:v>
      </x:c>
      <x:c r="H101" s="122" t="n">
        <x:f>IF(OR(A101="",G101=""),"",ROUND('00_Eingabe'!$B$9*G101,0))</x:f>
        <x:v>3</x:v>
      </x:c>
      <x:c r="I101" s="122" t="n">
        <x:f>IF(H101="","",ROUND(H101*'00_Eingabe'!$B$19,0))</x:f>
        <x:v>7</x:v>
      </x:c>
      <x:c r="J101" s="122" t="n">
        <x:f>IF(OR(F101="",I101=""),"",F101+I101)</x:f>
        <x:v>55</x:v>
      </x:c>
      <x:c r="K101" s="122" t="n">
        <x:f>IF(J101="","",ROUND(J101*'00_Eingabe'!$B$16*(1+'00_Eingabe'!$B$14),0))</x:f>
        <x:v>63</x:v>
      </x:c>
      <x:c r="L101" s="122" t="n">
        <x:f>IF(B101="Betriebsferien",0,ROUND(J101*'00_Eingabe'!$B$40,0)+IF(C101="Wochenende",'00_Eingabe'!$B$42,'00_Eingabe'!$B$41))</x:f>
        <x:v>55</x:v>
      </x:c>
      <x:c r="M101" s="123" t="n">
        <x:f>IF(J101="","",ROUND(J101*'00_Eingabe'!$B$17*(1+'00_Eingabe'!$B$15),0))</x:f>
        <x:v>63</x:v>
      </x:c>
      <x:c r="N101" s="106"/>
      <x:c r="O101" s="106"/>
      <x:c r="P101" s="116"/>
      <x:c r="Q101" s="213" t="n">
        <x:f>IF(C101="Wochenende",1,0)</x:f>
        <x:v>0</x:v>
      </x:c>
      <x:c r="R101" s="213" t="n">
        <x:f>IF(AND(B101&lt;&gt;"Betriebsferien",OR(WEEKDAY(A101,2)=2,WEEKDAY(A101,2)=4)),1,0)</x:f>
        <x:v>1</x:v>
      </x:c>
      <x:c r="S101" s="214" t="n">
        <x:f>R101*MIN(1,'00_Eingabe'!$B$62/'00_Eingabe'!$B$61)</x:f>
        <x:v>0.5</x:v>
      </x:c>
      <x:c r="T101" s="213" t="n">
        <x:f>IF(B101="Betriebsferien",0,IF(B101="Nebensaison",IF(OR(WEEKDAY(A101,2)=1,WEEKDAY(A101,2)=3,WEEKDAY(A101,2)=5),1,0),IF(C101="Unterwoche",1,0)))</x:f>
        <x:v>0</x:v>
      </x:c>
      <x:c r="U101" s="213" t="n">
        <x:f>IF(B101="Betriebsferien",0,'00_Eingabe'!$G$24)</x:f>
        <x:v>8</x:v>
      </x:c>
    </x:row>
    <x:row r="102">
      <x:c r="A102" s="121" t="n">
        <x:f>IF(ROW()-4&lt;DATE('00_Eingabe'!$B$7+1,1,1)-DATE('00_Eingabe'!$B$7,1,1),DATE('00_Eingabe'!$B$7,1,1)+ROW()-4,"")</x:f>
        <x:v>45756</x:v>
      </x:c>
      <x:c r="B102" s="122" t="str">
        <x:f>IF(A102="","",IF(OR(AND(MONTH(A102)=12,DAY(A102)&gt;=20),AND(MONTH(A102)=1,DAY(A102)&lt;=2)),"Weihnachten",IF(OR(AND(MONTH(A102)=11,DAY(A102)&gt;=24),AND(MONTH(A102)=12,DAY(A102)&lt;=7)),"Betriebsferien",IF(OR(AND(MONTH(A102)=1,DAY(A102)&gt;=3),MONTH(A102)=2,MONTH(A102)=3,MONTH(A102)=4,MONTH(A102)=10,MONTH(A102)=11,AND(MONTH(A102)=12,DAY(A102)&lt;=15)),"Nebensaison","Hauptsaison"))))</x:f>
        <x:v>Nebensaison</x:v>
      </x:c>
      <x:c r="C102" s="122" t="str">
        <x:f>IF(A102="","",IF(WEEKDAY(A102,2)&gt;=6,"Wochenende","Unterwoche"))</x:f>
        <x:v>Unterwoche</x:v>
      </x:c>
      <x:c r="D102" s="123" t="n">
        <x:f>IF(A102="","",IF(N102&lt;&gt;"",N102,IF(B102="Nebensaison",IF(C102="Wochenende",'00_Eingabe'!$C$24,'00_Eingabe'!$B$24),IF(B102="Hauptsaison",IF(C102="Wochenende",'00_Eingabe'!$C$25,'00_Eingabe'!$B$25),IF(B102="Weihnachten",IF(C102="Wochenende",'00_Eingabe'!$C$26,'00_Eingabe'!$B$26),IF(C102="Wochenende",'00_Eingabe'!$C$27,'00_Eingabe'!$B$27))))))</x:f>
        <x:v>0.7</x:v>
      </x:c>
      <x:c r="E102" s="122" t="n">
        <x:f>IF(OR(A102="",D102=""),"",ROUND('00_Eingabe'!$B$8*D102,0))</x:f>
        <x:v>25</x:v>
      </x:c>
      <x:c r="F102" s="122" t="n">
        <x:f>IF(E102="","",ROUND(E102*'00_Eingabe'!$B$18,0))</x:f>
        <x:v>48</x:v>
      </x:c>
      <x:c r="G102" s="123" t="n">
        <x:f>IF(A102="","",IF(O102&lt;&gt;"",O102,IF(B102="Nebensaison",IF(C102="Wochenende",'00_Eingabe'!$E$24,'00_Eingabe'!$D$24),IF(B102="Hauptsaison",IF(C102="Wochenende",'00_Eingabe'!$E$25,'00_Eingabe'!$D$25),IF(B102="Weihnachten",IF(C102="Wochenende",'00_Eingabe'!$E$26,'00_Eingabe'!$D$26),IF(C102="Wochenende",'00_Eingabe'!$E$27,'00_Eingabe'!$D$27))))))</x:f>
        <x:v>0.7</x:v>
      </x:c>
      <x:c r="H102" s="122" t="n">
        <x:f>IF(OR(A102="",G102=""),"",ROUND('00_Eingabe'!$B$9*G102,0))</x:f>
        <x:v>3</x:v>
      </x:c>
      <x:c r="I102" s="122" t="n">
        <x:f>IF(H102="","",ROUND(H102*'00_Eingabe'!$B$19,0))</x:f>
        <x:v>7</x:v>
      </x:c>
      <x:c r="J102" s="122" t="n">
        <x:f>IF(OR(F102="",I102=""),"",F102+I102)</x:f>
        <x:v>55</x:v>
      </x:c>
      <x:c r="K102" s="122" t="n">
        <x:f>IF(J102="","",ROUND(J102*'00_Eingabe'!$B$16*(1+'00_Eingabe'!$B$14),0))</x:f>
        <x:v>63</x:v>
      </x:c>
      <x:c r="L102" s="122" t="n">
        <x:f>IF(B102="Betriebsferien",0,ROUND(J102*'00_Eingabe'!$B$40,0)+IF(C102="Wochenende",'00_Eingabe'!$B$42,'00_Eingabe'!$B$41))</x:f>
        <x:v>55</x:v>
      </x:c>
      <x:c r="M102" s="123" t="n">
        <x:f>IF(J102="","",ROUND(J102*'00_Eingabe'!$B$17*(1+'00_Eingabe'!$B$15),0))</x:f>
        <x:v>63</x:v>
      </x:c>
      <x:c r="N102" s="106"/>
      <x:c r="O102" s="106"/>
      <x:c r="P102" s="116"/>
      <x:c r="Q102" s="213" t="n">
        <x:f>IF(C102="Wochenende",1,0)</x:f>
        <x:v>0</x:v>
      </x:c>
      <x:c r="R102" s="213" t="n">
        <x:f>IF(AND(B102&lt;&gt;"Betriebsferien",OR(WEEKDAY(A102,2)=2,WEEKDAY(A102,2)=4)),1,0)</x:f>
        <x:v>0</x:v>
      </x:c>
      <x:c r="S102" s="214" t="n">
        <x:f>R102*MIN(1,'00_Eingabe'!$B$62/'00_Eingabe'!$B$61)</x:f>
        <x:v>0</x:v>
      </x:c>
      <x:c r="T102" s="213" t="n">
        <x:f>IF(B102="Betriebsferien",0,IF(B102="Nebensaison",IF(OR(WEEKDAY(A102,2)=1,WEEKDAY(A102,2)=3,WEEKDAY(A102,2)=5),1,0),IF(C102="Unterwoche",1,0)))</x:f>
        <x:v>1</x:v>
      </x:c>
      <x:c r="U102" s="213" t="n">
        <x:f>IF(B102="Betriebsferien",0,'00_Eingabe'!$G$24)</x:f>
        <x:v>8</x:v>
      </x:c>
    </x:row>
    <x:row r="103">
      <x:c r="A103" s="121" t="n">
        <x:f>IF(ROW()-4&lt;DATE('00_Eingabe'!$B$7+1,1,1)-DATE('00_Eingabe'!$B$7,1,1),DATE('00_Eingabe'!$B$7,1,1)+ROW()-4,"")</x:f>
        <x:v>45757</x:v>
      </x:c>
      <x:c r="B103" s="122" t="str">
        <x:f>IF(A103="","",IF(OR(AND(MONTH(A103)=12,DAY(A103)&gt;=20),AND(MONTH(A103)=1,DAY(A103)&lt;=2)),"Weihnachten",IF(OR(AND(MONTH(A103)=11,DAY(A103)&gt;=24),AND(MONTH(A103)=12,DAY(A103)&lt;=7)),"Betriebsferien",IF(OR(AND(MONTH(A103)=1,DAY(A103)&gt;=3),MONTH(A103)=2,MONTH(A103)=3,MONTH(A103)=4,MONTH(A103)=10,MONTH(A103)=11,AND(MONTH(A103)=12,DAY(A103)&lt;=15)),"Nebensaison","Hauptsaison"))))</x:f>
        <x:v>Nebensaison</x:v>
      </x:c>
      <x:c r="C103" s="122" t="str">
        <x:f>IF(A103="","",IF(WEEKDAY(A103,2)&gt;=6,"Wochenende","Unterwoche"))</x:f>
        <x:v>Unterwoche</x:v>
      </x:c>
      <x:c r="D103" s="123" t="n">
        <x:f>IF(A103="","",IF(N103&lt;&gt;"",N103,IF(B103="Nebensaison",IF(C103="Wochenende",'00_Eingabe'!$C$24,'00_Eingabe'!$B$24),IF(B103="Hauptsaison",IF(C103="Wochenende",'00_Eingabe'!$C$25,'00_Eingabe'!$B$25),IF(B103="Weihnachten",IF(C103="Wochenende",'00_Eingabe'!$C$26,'00_Eingabe'!$B$26),IF(C103="Wochenende",'00_Eingabe'!$C$27,'00_Eingabe'!$B$27))))))</x:f>
        <x:v>0.7</x:v>
      </x:c>
      <x:c r="E103" s="122" t="n">
        <x:f>IF(OR(A103="",D103=""),"",ROUND('00_Eingabe'!$B$8*D103,0))</x:f>
        <x:v>25</x:v>
      </x:c>
      <x:c r="F103" s="122" t="n">
        <x:f>IF(E103="","",ROUND(E103*'00_Eingabe'!$B$18,0))</x:f>
        <x:v>48</x:v>
      </x:c>
      <x:c r="G103" s="123" t="n">
        <x:f>IF(A103="","",IF(O103&lt;&gt;"",O103,IF(B103="Nebensaison",IF(C103="Wochenende",'00_Eingabe'!$E$24,'00_Eingabe'!$D$24),IF(B103="Hauptsaison",IF(C103="Wochenende",'00_Eingabe'!$E$25,'00_Eingabe'!$D$25),IF(B103="Weihnachten",IF(C103="Wochenende",'00_Eingabe'!$E$26,'00_Eingabe'!$D$26),IF(C103="Wochenende",'00_Eingabe'!$E$27,'00_Eingabe'!$D$27))))))</x:f>
        <x:v>0.7</x:v>
      </x:c>
      <x:c r="H103" s="122" t="n">
        <x:f>IF(OR(A103="",G103=""),"",ROUND('00_Eingabe'!$B$9*G103,0))</x:f>
        <x:v>3</x:v>
      </x:c>
      <x:c r="I103" s="122" t="n">
        <x:f>IF(H103="","",ROUND(H103*'00_Eingabe'!$B$19,0))</x:f>
        <x:v>7</x:v>
      </x:c>
      <x:c r="J103" s="122" t="n">
        <x:f>IF(OR(F103="",I103=""),"",F103+I103)</x:f>
        <x:v>55</x:v>
      </x:c>
      <x:c r="K103" s="122" t="n">
        <x:f>IF(J103="","",ROUND(J103*'00_Eingabe'!$B$16*(1+'00_Eingabe'!$B$14),0))</x:f>
        <x:v>63</x:v>
      </x:c>
      <x:c r="L103" s="122" t="n">
        <x:f>IF(B103="Betriebsferien",0,ROUND(J103*'00_Eingabe'!$B$40,0)+IF(C103="Wochenende",'00_Eingabe'!$B$42,'00_Eingabe'!$B$41))</x:f>
        <x:v>55</x:v>
      </x:c>
      <x:c r="M103" s="123" t="n">
        <x:f>IF(J103="","",ROUND(J103*'00_Eingabe'!$B$17*(1+'00_Eingabe'!$B$15),0))</x:f>
        <x:v>63</x:v>
      </x:c>
      <x:c r="N103" s="106"/>
      <x:c r="O103" s="106"/>
      <x:c r="P103" s="116"/>
      <x:c r="Q103" s="213" t="n">
        <x:f>IF(C103="Wochenende",1,0)</x:f>
        <x:v>0</x:v>
      </x:c>
      <x:c r="R103" s="213" t="n">
        <x:f>IF(AND(B103&lt;&gt;"Betriebsferien",OR(WEEKDAY(A103,2)=2,WEEKDAY(A103,2)=4)),1,0)</x:f>
        <x:v>1</x:v>
      </x:c>
      <x:c r="S103" s="214" t="n">
        <x:f>R103*MIN(1,'00_Eingabe'!$B$62/'00_Eingabe'!$B$61)</x:f>
        <x:v>0.5</x:v>
      </x:c>
      <x:c r="T103" s="213" t="n">
        <x:f>IF(B103="Betriebsferien",0,IF(B103="Nebensaison",IF(OR(WEEKDAY(A103,2)=1,WEEKDAY(A103,2)=3,WEEKDAY(A103,2)=5),1,0),IF(C103="Unterwoche",1,0)))</x:f>
        <x:v>0</x:v>
      </x:c>
      <x:c r="U103" s="213" t="n">
        <x:f>IF(B103="Betriebsferien",0,'00_Eingabe'!$G$24)</x:f>
        <x:v>8</x:v>
      </x:c>
    </x:row>
    <x:row r="104">
      <x:c r="A104" s="121" t="n">
        <x:f>IF(ROW()-4&lt;DATE('00_Eingabe'!$B$7+1,1,1)-DATE('00_Eingabe'!$B$7,1,1),DATE('00_Eingabe'!$B$7,1,1)+ROW()-4,"")</x:f>
        <x:v>45758</x:v>
      </x:c>
      <x:c r="B104" s="122" t="str">
        <x:f>IF(A104="","",IF(OR(AND(MONTH(A104)=12,DAY(A104)&gt;=20),AND(MONTH(A104)=1,DAY(A104)&lt;=2)),"Weihnachten",IF(OR(AND(MONTH(A104)=11,DAY(A104)&gt;=24),AND(MONTH(A104)=12,DAY(A104)&lt;=7)),"Betriebsferien",IF(OR(AND(MONTH(A104)=1,DAY(A104)&gt;=3),MONTH(A104)=2,MONTH(A104)=3,MONTH(A104)=4,MONTH(A104)=10,MONTH(A104)=11,AND(MONTH(A104)=12,DAY(A104)&lt;=15)),"Nebensaison","Hauptsaison"))))</x:f>
        <x:v>Nebensaison</x:v>
      </x:c>
      <x:c r="C104" s="122" t="str">
        <x:f>IF(A104="","",IF(WEEKDAY(A104,2)&gt;=6,"Wochenende","Unterwoche"))</x:f>
        <x:v>Unterwoche</x:v>
      </x:c>
      <x:c r="D104" s="123" t="n">
        <x:f>IF(A104="","",IF(N104&lt;&gt;"",N104,IF(B104="Nebensaison",IF(C104="Wochenende",'00_Eingabe'!$C$24,'00_Eingabe'!$B$24),IF(B104="Hauptsaison",IF(C104="Wochenende",'00_Eingabe'!$C$25,'00_Eingabe'!$B$25),IF(B104="Weihnachten",IF(C104="Wochenende",'00_Eingabe'!$C$26,'00_Eingabe'!$B$26),IF(C104="Wochenende",'00_Eingabe'!$C$27,'00_Eingabe'!$B$27))))))</x:f>
        <x:v>0.7</x:v>
      </x:c>
      <x:c r="E104" s="122" t="n">
        <x:f>IF(OR(A104="",D104=""),"",ROUND('00_Eingabe'!$B$8*D104,0))</x:f>
        <x:v>25</x:v>
      </x:c>
      <x:c r="F104" s="122" t="n">
        <x:f>IF(E104="","",ROUND(E104*'00_Eingabe'!$B$18,0))</x:f>
        <x:v>48</x:v>
      </x:c>
      <x:c r="G104" s="123" t="n">
        <x:f>IF(A104="","",IF(O104&lt;&gt;"",O104,IF(B104="Nebensaison",IF(C104="Wochenende",'00_Eingabe'!$E$24,'00_Eingabe'!$D$24),IF(B104="Hauptsaison",IF(C104="Wochenende",'00_Eingabe'!$E$25,'00_Eingabe'!$D$25),IF(B104="Weihnachten",IF(C104="Wochenende",'00_Eingabe'!$E$26,'00_Eingabe'!$D$26),IF(C104="Wochenende",'00_Eingabe'!$E$27,'00_Eingabe'!$D$27))))))</x:f>
        <x:v>0.7</x:v>
      </x:c>
      <x:c r="H104" s="122" t="n">
        <x:f>IF(OR(A104="",G104=""),"",ROUND('00_Eingabe'!$B$9*G104,0))</x:f>
        <x:v>3</x:v>
      </x:c>
      <x:c r="I104" s="122" t="n">
        <x:f>IF(H104="","",ROUND(H104*'00_Eingabe'!$B$19,0))</x:f>
        <x:v>7</x:v>
      </x:c>
      <x:c r="J104" s="122" t="n">
        <x:f>IF(OR(F104="",I104=""),"",F104+I104)</x:f>
        <x:v>55</x:v>
      </x:c>
      <x:c r="K104" s="122" t="n">
        <x:f>IF(J104="","",ROUND(J104*'00_Eingabe'!$B$16*(1+'00_Eingabe'!$B$14),0))</x:f>
        <x:v>63</x:v>
      </x:c>
      <x:c r="L104" s="122" t="n">
        <x:f>IF(B104="Betriebsferien",0,ROUND(J104*'00_Eingabe'!$B$40,0)+IF(C104="Wochenende",'00_Eingabe'!$B$42,'00_Eingabe'!$B$41))</x:f>
        <x:v>55</x:v>
      </x:c>
      <x:c r="M104" s="123" t="n">
        <x:f>IF(J104="","",ROUND(J104*'00_Eingabe'!$B$17*(1+'00_Eingabe'!$B$15),0))</x:f>
        <x:v>63</x:v>
      </x:c>
      <x:c r="N104" s="106"/>
      <x:c r="O104" s="106"/>
      <x:c r="P104" s="116"/>
      <x:c r="Q104" s="213" t="n">
        <x:f>IF(C104="Wochenende",1,0)</x:f>
        <x:v>0</x:v>
      </x:c>
      <x:c r="R104" s="213" t="n">
        <x:f>IF(AND(B104&lt;&gt;"Betriebsferien",OR(WEEKDAY(A104,2)=2,WEEKDAY(A104,2)=4)),1,0)</x:f>
        <x:v>0</x:v>
      </x:c>
      <x:c r="S104" s="214" t="n">
        <x:f>R104*MIN(1,'00_Eingabe'!$B$62/'00_Eingabe'!$B$61)</x:f>
        <x:v>0</x:v>
      </x:c>
      <x:c r="T104" s="213" t="n">
        <x:f>IF(B104="Betriebsferien",0,IF(B104="Nebensaison",IF(OR(WEEKDAY(A104,2)=1,WEEKDAY(A104,2)=3,WEEKDAY(A104,2)=5),1,0),IF(C104="Unterwoche",1,0)))</x:f>
        <x:v>1</x:v>
      </x:c>
      <x:c r="U104" s="213" t="n">
        <x:f>IF(B104="Betriebsferien",0,'00_Eingabe'!$G$24)</x:f>
        <x:v>8</x:v>
      </x:c>
    </x:row>
    <x:row r="105">
      <x:c r="A105" s="121" t="n">
        <x:f>IF(ROW()-4&lt;DATE('00_Eingabe'!$B$7+1,1,1)-DATE('00_Eingabe'!$B$7,1,1),DATE('00_Eingabe'!$B$7,1,1)+ROW()-4,"")</x:f>
        <x:v>45759</x:v>
      </x:c>
      <x:c r="B105" s="122" t="str">
        <x:f>IF(A105="","",IF(OR(AND(MONTH(A105)=12,DAY(A105)&gt;=20),AND(MONTH(A105)=1,DAY(A105)&lt;=2)),"Weihnachten",IF(OR(AND(MONTH(A105)=11,DAY(A105)&gt;=24),AND(MONTH(A105)=12,DAY(A105)&lt;=7)),"Betriebsferien",IF(OR(AND(MONTH(A105)=1,DAY(A105)&gt;=3),MONTH(A105)=2,MONTH(A105)=3,MONTH(A105)=4,MONTH(A105)=10,MONTH(A105)=11,AND(MONTH(A105)=12,DAY(A105)&lt;=15)),"Nebensaison","Hauptsaison"))))</x:f>
        <x:v>Nebensaison</x:v>
      </x:c>
      <x:c r="C105" s="122" t="str">
        <x:f>IF(A105="","",IF(WEEKDAY(A105,2)&gt;=6,"Wochenende","Unterwoche"))</x:f>
        <x:v>Wochenende</x:v>
      </x:c>
      <x:c r="D105" s="123" t="n">
        <x:f>IF(A105="","",IF(N105&lt;&gt;"",N105,IF(B105="Nebensaison",IF(C105="Wochenende",'00_Eingabe'!$C$24,'00_Eingabe'!$B$24),IF(B105="Hauptsaison",IF(C105="Wochenende",'00_Eingabe'!$C$25,'00_Eingabe'!$B$25),IF(B105="Weihnachten",IF(C105="Wochenende",'00_Eingabe'!$C$26,'00_Eingabe'!$B$26),IF(C105="Wochenende",'00_Eingabe'!$C$27,'00_Eingabe'!$B$27))))))</x:f>
        <x:v>0.75</x:v>
      </x:c>
      <x:c r="E105" s="122" t="n">
        <x:f>IF(OR(A105="",D105=""),"",ROUND('00_Eingabe'!$B$8*D105,0))</x:f>
        <x:v>26</x:v>
      </x:c>
      <x:c r="F105" s="122" t="n">
        <x:f>IF(E105="","",ROUND(E105*'00_Eingabe'!$B$18,0))</x:f>
        <x:v>49</x:v>
      </x:c>
      <x:c r="G105" s="123" t="n">
        <x:f>IF(A105="","",IF(O105&lt;&gt;"",O105,IF(B105="Nebensaison",IF(C105="Wochenende",'00_Eingabe'!$E$24,'00_Eingabe'!$D$24),IF(B105="Hauptsaison",IF(C105="Wochenende",'00_Eingabe'!$E$25,'00_Eingabe'!$D$25),IF(B105="Weihnachten",IF(C105="Wochenende",'00_Eingabe'!$E$26,'00_Eingabe'!$D$26),IF(C105="Wochenende",'00_Eingabe'!$E$27,'00_Eingabe'!$D$27))))))</x:f>
        <x:v>0.75</x:v>
      </x:c>
      <x:c r="H105" s="122" t="n">
        <x:f>IF(OR(A105="",G105=""),"",ROUND('00_Eingabe'!$B$9*G105,0))</x:f>
        <x:v>3</x:v>
      </x:c>
      <x:c r="I105" s="122" t="n">
        <x:f>IF(H105="","",ROUND(H105*'00_Eingabe'!$B$19,0))</x:f>
        <x:v>7</x:v>
      </x:c>
      <x:c r="J105" s="122" t="n">
        <x:f>IF(OR(F105="",I105=""),"",F105+I105)</x:f>
        <x:v>56</x:v>
      </x:c>
      <x:c r="K105" s="122" t="n">
        <x:f>IF(J105="","",ROUND(J105*'00_Eingabe'!$B$16*(1+'00_Eingabe'!$B$14),0))</x:f>
        <x:v>64</x:v>
      </x:c>
      <x:c r="L105" s="122" t="n">
        <x:f>IF(B105="Betriebsferien",0,ROUND(J105*'00_Eingabe'!$B$40,0)+IF(C105="Wochenende",'00_Eingabe'!$B$42,'00_Eingabe'!$B$41))</x:f>
        <x:v>80</x:v>
      </x:c>
      <x:c r="M105" s="123" t="n">
        <x:f>IF(J105="","",ROUND(J105*'00_Eingabe'!$B$17*(1+'00_Eingabe'!$B$15),0))</x:f>
        <x:v>64</x:v>
      </x:c>
      <x:c r="N105" s="106"/>
      <x:c r="O105" s="106"/>
      <x:c r="P105" s="116"/>
      <x:c r="Q105" s="213" t="n">
        <x:f>IF(C105="Wochenende",1,0)</x:f>
        <x:v>1</x:v>
      </x:c>
      <x:c r="R105" s="213" t="n">
        <x:f>IF(AND(B105&lt;&gt;"Betriebsferien",OR(WEEKDAY(A105,2)=2,WEEKDAY(A105,2)=4)),1,0)</x:f>
        <x:v>0</x:v>
      </x:c>
      <x:c r="S105" s="214" t="n">
        <x:f>R105*MIN(1,'00_Eingabe'!$B$62/'00_Eingabe'!$B$61)</x:f>
        <x:v>0</x:v>
      </x:c>
      <x:c r="T105" s="213" t="n">
        <x:f>IF(B105="Betriebsferien",0,IF(B105="Nebensaison",IF(OR(WEEKDAY(A105,2)=1,WEEKDAY(A105,2)=3,WEEKDAY(A105,2)=5),1,0),IF(C105="Unterwoche",1,0)))</x:f>
        <x:v>0</x:v>
      </x:c>
      <x:c r="U105" s="213" t="n">
        <x:f>IF(B105="Betriebsferien",0,'00_Eingabe'!$G$24)</x:f>
        <x:v>8</x:v>
      </x:c>
    </x:row>
    <x:row r="106">
      <x:c r="A106" s="121" t="n">
        <x:f>IF(ROW()-4&lt;DATE('00_Eingabe'!$B$7+1,1,1)-DATE('00_Eingabe'!$B$7,1,1),DATE('00_Eingabe'!$B$7,1,1)+ROW()-4,"")</x:f>
        <x:v>45760</x:v>
      </x:c>
      <x:c r="B106" s="122" t="str">
        <x:f>IF(A106="","",IF(OR(AND(MONTH(A106)=12,DAY(A106)&gt;=20),AND(MONTH(A106)=1,DAY(A106)&lt;=2)),"Weihnachten",IF(OR(AND(MONTH(A106)=11,DAY(A106)&gt;=24),AND(MONTH(A106)=12,DAY(A106)&lt;=7)),"Betriebsferien",IF(OR(AND(MONTH(A106)=1,DAY(A106)&gt;=3),MONTH(A106)=2,MONTH(A106)=3,MONTH(A106)=4,MONTH(A106)=10,MONTH(A106)=11,AND(MONTH(A106)=12,DAY(A106)&lt;=15)),"Nebensaison","Hauptsaison"))))</x:f>
        <x:v>Nebensaison</x:v>
      </x:c>
      <x:c r="C106" s="122" t="str">
        <x:f>IF(A106="","",IF(WEEKDAY(A106,2)&gt;=6,"Wochenende","Unterwoche"))</x:f>
        <x:v>Wochenende</x:v>
      </x:c>
      <x:c r="D106" s="123" t="n">
        <x:f>IF(A106="","",IF(N106&lt;&gt;"",N106,IF(B106="Nebensaison",IF(C106="Wochenende",'00_Eingabe'!$C$24,'00_Eingabe'!$B$24),IF(B106="Hauptsaison",IF(C106="Wochenende",'00_Eingabe'!$C$25,'00_Eingabe'!$B$25),IF(B106="Weihnachten",IF(C106="Wochenende",'00_Eingabe'!$C$26,'00_Eingabe'!$B$26),IF(C106="Wochenende",'00_Eingabe'!$C$27,'00_Eingabe'!$B$27))))))</x:f>
        <x:v>0.75</x:v>
      </x:c>
      <x:c r="E106" s="122" t="n">
        <x:f>IF(OR(A106="",D106=""),"",ROUND('00_Eingabe'!$B$8*D106,0))</x:f>
        <x:v>26</x:v>
      </x:c>
      <x:c r="F106" s="122" t="n">
        <x:f>IF(E106="","",ROUND(E106*'00_Eingabe'!$B$18,0))</x:f>
        <x:v>49</x:v>
      </x:c>
      <x:c r="G106" s="123" t="n">
        <x:f>IF(A106="","",IF(O106&lt;&gt;"",O106,IF(B106="Nebensaison",IF(C106="Wochenende",'00_Eingabe'!$E$24,'00_Eingabe'!$D$24),IF(B106="Hauptsaison",IF(C106="Wochenende",'00_Eingabe'!$E$25,'00_Eingabe'!$D$25),IF(B106="Weihnachten",IF(C106="Wochenende",'00_Eingabe'!$E$26,'00_Eingabe'!$D$26),IF(C106="Wochenende",'00_Eingabe'!$E$27,'00_Eingabe'!$D$27))))))</x:f>
        <x:v>0.75</x:v>
      </x:c>
      <x:c r="H106" s="122" t="n">
        <x:f>IF(OR(A106="",G106=""),"",ROUND('00_Eingabe'!$B$9*G106,0))</x:f>
        <x:v>3</x:v>
      </x:c>
      <x:c r="I106" s="122" t="n">
        <x:f>IF(H106="","",ROUND(H106*'00_Eingabe'!$B$19,0))</x:f>
        <x:v>7</x:v>
      </x:c>
      <x:c r="J106" s="122" t="n">
        <x:f>IF(OR(F106="",I106=""),"",F106+I106)</x:f>
        <x:v>56</x:v>
      </x:c>
      <x:c r="K106" s="122" t="n">
        <x:f>IF(J106="","",ROUND(J106*'00_Eingabe'!$B$16*(1+'00_Eingabe'!$B$14),0))</x:f>
        <x:v>64</x:v>
      </x:c>
      <x:c r="L106" s="122" t="n">
        <x:f>IF(B106="Betriebsferien",0,ROUND(J106*'00_Eingabe'!$B$40,0)+IF(C106="Wochenende",'00_Eingabe'!$B$42,'00_Eingabe'!$B$41))</x:f>
        <x:v>80</x:v>
      </x:c>
      <x:c r="M106" s="123" t="n">
        <x:f>IF(J106="","",ROUND(J106*'00_Eingabe'!$B$17*(1+'00_Eingabe'!$B$15),0))</x:f>
        <x:v>64</x:v>
      </x:c>
      <x:c r="N106" s="106"/>
      <x:c r="O106" s="106"/>
      <x:c r="P106" s="116"/>
      <x:c r="Q106" s="213" t="n">
        <x:f>IF(C106="Wochenende",1,0)</x:f>
        <x:v>1</x:v>
      </x:c>
      <x:c r="R106" s="213" t="n">
        <x:f>IF(AND(B106&lt;&gt;"Betriebsferien",OR(WEEKDAY(A106,2)=2,WEEKDAY(A106,2)=4)),1,0)</x:f>
        <x:v>0</x:v>
      </x:c>
      <x:c r="S106" s="214" t="n">
        <x:f>R106*MIN(1,'00_Eingabe'!$B$62/'00_Eingabe'!$B$61)</x:f>
        <x:v>0</x:v>
      </x:c>
      <x:c r="T106" s="213" t="n">
        <x:f>IF(B106="Betriebsferien",0,IF(B106="Nebensaison",IF(OR(WEEKDAY(A106,2)=1,WEEKDAY(A106,2)=3,WEEKDAY(A106,2)=5),1,0),IF(C106="Unterwoche",1,0)))</x:f>
        <x:v>0</x:v>
      </x:c>
      <x:c r="U106" s="213" t="n">
        <x:f>IF(B106="Betriebsferien",0,'00_Eingabe'!$G$24)</x:f>
        <x:v>8</x:v>
      </x:c>
    </x:row>
    <x:row r="107">
      <x:c r="A107" s="121" t="n">
        <x:f>IF(ROW()-4&lt;DATE('00_Eingabe'!$B$7+1,1,1)-DATE('00_Eingabe'!$B$7,1,1),DATE('00_Eingabe'!$B$7,1,1)+ROW()-4,"")</x:f>
        <x:v>45761</x:v>
      </x:c>
      <x:c r="B107" s="122" t="str">
        <x:f>IF(A107="","",IF(OR(AND(MONTH(A107)=12,DAY(A107)&gt;=20),AND(MONTH(A107)=1,DAY(A107)&lt;=2)),"Weihnachten",IF(OR(AND(MONTH(A107)=11,DAY(A107)&gt;=24),AND(MONTH(A107)=12,DAY(A107)&lt;=7)),"Betriebsferien",IF(OR(AND(MONTH(A107)=1,DAY(A107)&gt;=3),MONTH(A107)=2,MONTH(A107)=3,MONTH(A107)=4,MONTH(A107)=10,MONTH(A107)=11,AND(MONTH(A107)=12,DAY(A107)&lt;=15)),"Nebensaison","Hauptsaison"))))</x:f>
        <x:v>Nebensaison</x:v>
      </x:c>
      <x:c r="C107" s="122" t="str">
        <x:f>IF(A107="","",IF(WEEKDAY(A107,2)&gt;=6,"Wochenende","Unterwoche"))</x:f>
        <x:v>Unterwoche</x:v>
      </x:c>
      <x:c r="D107" s="123" t="n">
        <x:f>IF(A107="","",IF(N107&lt;&gt;"",N107,IF(B107="Nebensaison",IF(C107="Wochenende",'00_Eingabe'!$C$24,'00_Eingabe'!$B$24),IF(B107="Hauptsaison",IF(C107="Wochenende",'00_Eingabe'!$C$25,'00_Eingabe'!$B$25),IF(B107="Weihnachten",IF(C107="Wochenende",'00_Eingabe'!$C$26,'00_Eingabe'!$B$26),IF(C107="Wochenende",'00_Eingabe'!$C$27,'00_Eingabe'!$B$27))))))</x:f>
        <x:v>0.7</x:v>
      </x:c>
      <x:c r="E107" s="122" t="n">
        <x:f>IF(OR(A107="",D107=""),"",ROUND('00_Eingabe'!$B$8*D107,0))</x:f>
        <x:v>25</x:v>
      </x:c>
      <x:c r="F107" s="122" t="n">
        <x:f>IF(E107="","",ROUND(E107*'00_Eingabe'!$B$18,0))</x:f>
        <x:v>48</x:v>
      </x:c>
      <x:c r="G107" s="123" t="n">
        <x:f>IF(A107="","",IF(O107&lt;&gt;"",O107,IF(B107="Nebensaison",IF(C107="Wochenende",'00_Eingabe'!$E$24,'00_Eingabe'!$D$24),IF(B107="Hauptsaison",IF(C107="Wochenende",'00_Eingabe'!$E$25,'00_Eingabe'!$D$25),IF(B107="Weihnachten",IF(C107="Wochenende",'00_Eingabe'!$E$26,'00_Eingabe'!$D$26),IF(C107="Wochenende",'00_Eingabe'!$E$27,'00_Eingabe'!$D$27))))))</x:f>
        <x:v>0.7</x:v>
      </x:c>
      <x:c r="H107" s="122" t="n">
        <x:f>IF(OR(A107="",G107=""),"",ROUND('00_Eingabe'!$B$9*G107,0))</x:f>
        <x:v>3</x:v>
      </x:c>
      <x:c r="I107" s="122" t="n">
        <x:f>IF(H107="","",ROUND(H107*'00_Eingabe'!$B$19,0))</x:f>
        <x:v>7</x:v>
      </x:c>
      <x:c r="J107" s="122" t="n">
        <x:f>IF(OR(F107="",I107=""),"",F107+I107)</x:f>
        <x:v>55</x:v>
      </x:c>
      <x:c r="K107" s="122" t="n">
        <x:f>IF(J107="","",ROUND(J107*'00_Eingabe'!$B$16*(1+'00_Eingabe'!$B$14),0))</x:f>
        <x:v>63</x:v>
      </x:c>
      <x:c r="L107" s="122" t="n">
        <x:f>IF(B107="Betriebsferien",0,ROUND(J107*'00_Eingabe'!$B$40,0)+IF(C107="Wochenende",'00_Eingabe'!$B$42,'00_Eingabe'!$B$41))</x:f>
        <x:v>55</x:v>
      </x:c>
      <x:c r="M107" s="123" t="n">
        <x:f>IF(J107="","",ROUND(J107*'00_Eingabe'!$B$17*(1+'00_Eingabe'!$B$15),0))</x:f>
        <x:v>63</x:v>
      </x:c>
      <x:c r="N107" s="106"/>
      <x:c r="O107" s="106"/>
      <x:c r="P107" s="116"/>
      <x:c r="Q107" s="213" t="n">
        <x:f>IF(C107="Wochenende",1,0)</x:f>
        <x:v>0</x:v>
      </x:c>
      <x:c r="R107" s="213" t="n">
        <x:f>IF(AND(B107&lt;&gt;"Betriebsferien",OR(WEEKDAY(A107,2)=2,WEEKDAY(A107,2)=4)),1,0)</x:f>
        <x:v>0</x:v>
      </x:c>
      <x:c r="S107" s="214" t="n">
        <x:f>R107*MIN(1,'00_Eingabe'!$B$62/'00_Eingabe'!$B$61)</x:f>
        <x:v>0</x:v>
      </x:c>
      <x:c r="T107" s="213" t="n">
        <x:f>IF(B107="Betriebsferien",0,IF(B107="Nebensaison",IF(OR(WEEKDAY(A107,2)=1,WEEKDAY(A107,2)=3,WEEKDAY(A107,2)=5),1,0),IF(C107="Unterwoche",1,0)))</x:f>
        <x:v>1</x:v>
      </x:c>
      <x:c r="U107" s="213" t="n">
        <x:f>IF(B107="Betriebsferien",0,'00_Eingabe'!$G$24)</x:f>
        <x:v>8</x:v>
      </x:c>
    </x:row>
    <x:row r="108">
      <x:c r="A108" s="121" t="n">
        <x:f>IF(ROW()-4&lt;DATE('00_Eingabe'!$B$7+1,1,1)-DATE('00_Eingabe'!$B$7,1,1),DATE('00_Eingabe'!$B$7,1,1)+ROW()-4,"")</x:f>
        <x:v>45762</x:v>
      </x:c>
      <x:c r="B108" s="122" t="str">
        <x:f>IF(A108="","",IF(OR(AND(MONTH(A108)=12,DAY(A108)&gt;=20),AND(MONTH(A108)=1,DAY(A108)&lt;=2)),"Weihnachten",IF(OR(AND(MONTH(A108)=11,DAY(A108)&gt;=24),AND(MONTH(A108)=12,DAY(A108)&lt;=7)),"Betriebsferien",IF(OR(AND(MONTH(A108)=1,DAY(A108)&gt;=3),MONTH(A108)=2,MONTH(A108)=3,MONTH(A108)=4,MONTH(A108)=10,MONTH(A108)=11,AND(MONTH(A108)=12,DAY(A108)&lt;=15)),"Nebensaison","Hauptsaison"))))</x:f>
        <x:v>Nebensaison</x:v>
      </x:c>
      <x:c r="C108" s="122" t="str">
        <x:f>IF(A108="","",IF(WEEKDAY(A108,2)&gt;=6,"Wochenende","Unterwoche"))</x:f>
        <x:v>Unterwoche</x:v>
      </x:c>
      <x:c r="D108" s="123" t="n">
        <x:f>IF(A108="","",IF(N108&lt;&gt;"",N108,IF(B108="Nebensaison",IF(C108="Wochenende",'00_Eingabe'!$C$24,'00_Eingabe'!$B$24),IF(B108="Hauptsaison",IF(C108="Wochenende",'00_Eingabe'!$C$25,'00_Eingabe'!$B$25),IF(B108="Weihnachten",IF(C108="Wochenende",'00_Eingabe'!$C$26,'00_Eingabe'!$B$26),IF(C108="Wochenende",'00_Eingabe'!$C$27,'00_Eingabe'!$B$27))))))</x:f>
        <x:v>0.7</x:v>
      </x:c>
      <x:c r="E108" s="122" t="n">
        <x:f>IF(OR(A108="",D108=""),"",ROUND('00_Eingabe'!$B$8*D108,0))</x:f>
        <x:v>25</x:v>
      </x:c>
      <x:c r="F108" s="122" t="n">
        <x:f>IF(E108="","",ROUND(E108*'00_Eingabe'!$B$18,0))</x:f>
        <x:v>48</x:v>
      </x:c>
      <x:c r="G108" s="123" t="n">
        <x:f>IF(A108="","",IF(O108&lt;&gt;"",O108,IF(B108="Nebensaison",IF(C108="Wochenende",'00_Eingabe'!$E$24,'00_Eingabe'!$D$24),IF(B108="Hauptsaison",IF(C108="Wochenende",'00_Eingabe'!$E$25,'00_Eingabe'!$D$25),IF(B108="Weihnachten",IF(C108="Wochenende",'00_Eingabe'!$E$26,'00_Eingabe'!$D$26),IF(C108="Wochenende",'00_Eingabe'!$E$27,'00_Eingabe'!$D$27))))))</x:f>
        <x:v>0.7</x:v>
      </x:c>
      <x:c r="H108" s="122" t="n">
        <x:f>IF(OR(A108="",G108=""),"",ROUND('00_Eingabe'!$B$9*G108,0))</x:f>
        <x:v>3</x:v>
      </x:c>
      <x:c r="I108" s="122" t="n">
        <x:f>IF(H108="","",ROUND(H108*'00_Eingabe'!$B$19,0))</x:f>
        <x:v>7</x:v>
      </x:c>
      <x:c r="J108" s="122" t="n">
        <x:f>IF(OR(F108="",I108=""),"",F108+I108)</x:f>
        <x:v>55</x:v>
      </x:c>
      <x:c r="K108" s="122" t="n">
        <x:f>IF(J108="","",ROUND(J108*'00_Eingabe'!$B$16*(1+'00_Eingabe'!$B$14),0))</x:f>
        <x:v>63</x:v>
      </x:c>
      <x:c r="L108" s="122" t="n">
        <x:f>IF(B108="Betriebsferien",0,ROUND(J108*'00_Eingabe'!$B$40,0)+IF(C108="Wochenende",'00_Eingabe'!$B$42,'00_Eingabe'!$B$41))</x:f>
        <x:v>55</x:v>
      </x:c>
      <x:c r="M108" s="123" t="n">
        <x:f>IF(J108="","",ROUND(J108*'00_Eingabe'!$B$17*(1+'00_Eingabe'!$B$15),0))</x:f>
        <x:v>63</x:v>
      </x:c>
      <x:c r="N108" s="106"/>
      <x:c r="O108" s="106"/>
      <x:c r="P108" s="116"/>
      <x:c r="Q108" s="213" t="n">
        <x:f>IF(C108="Wochenende",1,0)</x:f>
        <x:v>0</x:v>
      </x:c>
      <x:c r="R108" s="213" t="n">
        <x:f>IF(AND(B108&lt;&gt;"Betriebsferien",OR(WEEKDAY(A108,2)=2,WEEKDAY(A108,2)=4)),1,0)</x:f>
        <x:v>1</x:v>
      </x:c>
      <x:c r="S108" s="214" t="n">
        <x:f>R108*MIN(1,'00_Eingabe'!$B$62/'00_Eingabe'!$B$61)</x:f>
        <x:v>0.5</x:v>
      </x:c>
      <x:c r="T108" s="213" t="n">
        <x:f>IF(B108="Betriebsferien",0,IF(B108="Nebensaison",IF(OR(WEEKDAY(A108,2)=1,WEEKDAY(A108,2)=3,WEEKDAY(A108,2)=5),1,0),IF(C108="Unterwoche",1,0)))</x:f>
        <x:v>0</x:v>
      </x:c>
      <x:c r="U108" s="213" t="n">
        <x:f>IF(B108="Betriebsferien",0,'00_Eingabe'!$G$24)</x:f>
        <x:v>8</x:v>
      </x:c>
    </x:row>
    <x:row r="109">
      <x:c r="A109" s="121" t="n">
        <x:f>IF(ROW()-4&lt;DATE('00_Eingabe'!$B$7+1,1,1)-DATE('00_Eingabe'!$B$7,1,1),DATE('00_Eingabe'!$B$7,1,1)+ROW()-4,"")</x:f>
        <x:v>45763</x:v>
      </x:c>
      <x:c r="B109" s="122" t="str">
        <x:f>IF(A109="","",IF(OR(AND(MONTH(A109)=12,DAY(A109)&gt;=20),AND(MONTH(A109)=1,DAY(A109)&lt;=2)),"Weihnachten",IF(OR(AND(MONTH(A109)=11,DAY(A109)&gt;=24),AND(MONTH(A109)=12,DAY(A109)&lt;=7)),"Betriebsferien",IF(OR(AND(MONTH(A109)=1,DAY(A109)&gt;=3),MONTH(A109)=2,MONTH(A109)=3,MONTH(A109)=4,MONTH(A109)=10,MONTH(A109)=11,AND(MONTH(A109)=12,DAY(A109)&lt;=15)),"Nebensaison","Hauptsaison"))))</x:f>
        <x:v>Nebensaison</x:v>
      </x:c>
      <x:c r="C109" s="122" t="str">
        <x:f>IF(A109="","",IF(WEEKDAY(A109,2)&gt;=6,"Wochenende","Unterwoche"))</x:f>
        <x:v>Unterwoche</x:v>
      </x:c>
      <x:c r="D109" s="123" t="n">
        <x:f>IF(A109="","",IF(N109&lt;&gt;"",N109,IF(B109="Nebensaison",IF(C109="Wochenende",'00_Eingabe'!$C$24,'00_Eingabe'!$B$24),IF(B109="Hauptsaison",IF(C109="Wochenende",'00_Eingabe'!$C$25,'00_Eingabe'!$B$25),IF(B109="Weihnachten",IF(C109="Wochenende",'00_Eingabe'!$C$26,'00_Eingabe'!$B$26),IF(C109="Wochenende",'00_Eingabe'!$C$27,'00_Eingabe'!$B$27))))))</x:f>
        <x:v>0.7</x:v>
      </x:c>
      <x:c r="E109" s="122" t="n">
        <x:f>IF(OR(A109="",D109=""),"",ROUND('00_Eingabe'!$B$8*D109,0))</x:f>
        <x:v>25</x:v>
      </x:c>
      <x:c r="F109" s="122" t="n">
        <x:f>IF(E109="","",ROUND(E109*'00_Eingabe'!$B$18,0))</x:f>
        <x:v>48</x:v>
      </x:c>
      <x:c r="G109" s="123" t="n">
        <x:f>IF(A109="","",IF(O109&lt;&gt;"",O109,IF(B109="Nebensaison",IF(C109="Wochenende",'00_Eingabe'!$E$24,'00_Eingabe'!$D$24),IF(B109="Hauptsaison",IF(C109="Wochenende",'00_Eingabe'!$E$25,'00_Eingabe'!$D$25),IF(B109="Weihnachten",IF(C109="Wochenende",'00_Eingabe'!$E$26,'00_Eingabe'!$D$26),IF(C109="Wochenende",'00_Eingabe'!$E$27,'00_Eingabe'!$D$27))))))</x:f>
        <x:v>0.7</x:v>
      </x:c>
      <x:c r="H109" s="122" t="n">
        <x:f>IF(OR(A109="",G109=""),"",ROUND('00_Eingabe'!$B$9*G109,0))</x:f>
        <x:v>3</x:v>
      </x:c>
      <x:c r="I109" s="122" t="n">
        <x:f>IF(H109="","",ROUND(H109*'00_Eingabe'!$B$19,0))</x:f>
        <x:v>7</x:v>
      </x:c>
      <x:c r="J109" s="122" t="n">
        <x:f>IF(OR(F109="",I109=""),"",F109+I109)</x:f>
        <x:v>55</x:v>
      </x:c>
      <x:c r="K109" s="122" t="n">
        <x:f>IF(J109="","",ROUND(J109*'00_Eingabe'!$B$16*(1+'00_Eingabe'!$B$14),0))</x:f>
        <x:v>63</x:v>
      </x:c>
      <x:c r="L109" s="122" t="n">
        <x:f>IF(B109="Betriebsferien",0,ROUND(J109*'00_Eingabe'!$B$40,0)+IF(C109="Wochenende",'00_Eingabe'!$B$42,'00_Eingabe'!$B$41))</x:f>
        <x:v>55</x:v>
      </x:c>
      <x:c r="M109" s="123" t="n">
        <x:f>IF(J109="","",ROUND(J109*'00_Eingabe'!$B$17*(1+'00_Eingabe'!$B$15),0))</x:f>
        <x:v>63</x:v>
      </x:c>
      <x:c r="N109" s="106"/>
      <x:c r="O109" s="106"/>
      <x:c r="P109" s="116"/>
      <x:c r="Q109" s="213" t="n">
        <x:f>IF(C109="Wochenende",1,0)</x:f>
        <x:v>0</x:v>
      </x:c>
      <x:c r="R109" s="213" t="n">
        <x:f>IF(AND(B109&lt;&gt;"Betriebsferien",OR(WEEKDAY(A109,2)=2,WEEKDAY(A109,2)=4)),1,0)</x:f>
        <x:v>0</x:v>
      </x:c>
      <x:c r="S109" s="214" t="n">
        <x:f>R109*MIN(1,'00_Eingabe'!$B$62/'00_Eingabe'!$B$61)</x:f>
        <x:v>0</x:v>
      </x:c>
      <x:c r="T109" s="213" t="n">
        <x:f>IF(B109="Betriebsferien",0,IF(B109="Nebensaison",IF(OR(WEEKDAY(A109,2)=1,WEEKDAY(A109,2)=3,WEEKDAY(A109,2)=5),1,0),IF(C109="Unterwoche",1,0)))</x:f>
        <x:v>1</x:v>
      </x:c>
      <x:c r="U109" s="213" t="n">
        <x:f>IF(B109="Betriebsferien",0,'00_Eingabe'!$G$24)</x:f>
        <x:v>8</x:v>
      </x:c>
    </x:row>
    <x:row r="110">
      <x:c r="A110" s="121" t="n">
        <x:f>IF(ROW()-4&lt;DATE('00_Eingabe'!$B$7+1,1,1)-DATE('00_Eingabe'!$B$7,1,1),DATE('00_Eingabe'!$B$7,1,1)+ROW()-4,"")</x:f>
        <x:v>45764</x:v>
      </x:c>
      <x:c r="B110" s="122" t="str">
        <x:f>IF(A110="","",IF(OR(AND(MONTH(A110)=12,DAY(A110)&gt;=20),AND(MONTH(A110)=1,DAY(A110)&lt;=2)),"Weihnachten",IF(OR(AND(MONTH(A110)=11,DAY(A110)&gt;=24),AND(MONTH(A110)=12,DAY(A110)&lt;=7)),"Betriebsferien",IF(OR(AND(MONTH(A110)=1,DAY(A110)&gt;=3),MONTH(A110)=2,MONTH(A110)=3,MONTH(A110)=4,MONTH(A110)=10,MONTH(A110)=11,AND(MONTH(A110)=12,DAY(A110)&lt;=15)),"Nebensaison","Hauptsaison"))))</x:f>
        <x:v>Nebensaison</x:v>
      </x:c>
      <x:c r="C110" s="122" t="str">
        <x:f>IF(A110="","",IF(WEEKDAY(A110,2)&gt;=6,"Wochenende","Unterwoche"))</x:f>
        <x:v>Unterwoche</x:v>
      </x:c>
      <x:c r="D110" s="123" t="n">
        <x:f>IF(A110="","",IF(N110&lt;&gt;"",N110,IF(B110="Nebensaison",IF(C110="Wochenende",'00_Eingabe'!$C$24,'00_Eingabe'!$B$24),IF(B110="Hauptsaison",IF(C110="Wochenende",'00_Eingabe'!$C$25,'00_Eingabe'!$B$25),IF(B110="Weihnachten",IF(C110="Wochenende",'00_Eingabe'!$C$26,'00_Eingabe'!$B$26),IF(C110="Wochenende",'00_Eingabe'!$C$27,'00_Eingabe'!$B$27))))))</x:f>
        <x:v>0.7</x:v>
      </x:c>
      <x:c r="E110" s="122" t="n">
        <x:f>IF(OR(A110="",D110=""),"",ROUND('00_Eingabe'!$B$8*D110,0))</x:f>
        <x:v>25</x:v>
      </x:c>
      <x:c r="F110" s="122" t="n">
        <x:f>IF(E110="","",ROUND(E110*'00_Eingabe'!$B$18,0))</x:f>
        <x:v>48</x:v>
      </x:c>
      <x:c r="G110" s="123" t="n">
        <x:f>IF(A110="","",IF(O110&lt;&gt;"",O110,IF(B110="Nebensaison",IF(C110="Wochenende",'00_Eingabe'!$E$24,'00_Eingabe'!$D$24),IF(B110="Hauptsaison",IF(C110="Wochenende",'00_Eingabe'!$E$25,'00_Eingabe'!$D$25),IF(B110="Weihnachten",IF(C110="Wochenende",'00_Eingabe'!$E$26,'00_Eingabe'!$D$26),IF(C110="Wochenende",'00_Eingabe'!$E$27,'00_Eingabe'!$D$27))))))</x:f>
        <x:v>0.7</x:v>
      </x:c>
      <x:c r="H110" s="122" t="n">
        <x:f>IF(OR(A110="",G110=""),"",ROUND('00_Eingabe'!$B$9*G110,0))</x:f>
        <x:v>3</x:v>
      </x:c>
      <x:c r="I110" s="122" t="n">
        <x:f>IF(H110="","",ROUND(H110*'00_Eingabe'!$B$19,0))</x:f>
        <x:v>7</x:v>
      </x:c>
      <x:c r="J110" s="122" t="n">
        <x:f>IF(OR(F110="",I110=""),"",F110+I110)</x:f>
        <x:v>55</x:v>
      </x:c>
      <x:c r="K110" s="122" t="n">
        <x:f>IF(J110="","",ROUND(J110*'00_Eingabe'!$B$16*(1+'00_Eingabe'!$B$14),0))</x:f>
        <x:v>63</x:v>
      </x:c>
      <x:c r="L110" s="122" t="n">
        <x:f>IF(B110="Betriebsferien",0,ROUND(J110*'00_Eingabe'!$B$40,0)+IF(C110="Wochenende",'00_Eingabe'!$B$42,'00_Eingabe'!$B$41))</x:f>
        <x:v>55</x:v>
      </x:c>
      <x:c r="M110" s="123" t="n">
        <x:f>IF(J110="","",ROUND(J110*'00_Eingabe'!$B$17*(1+'00_Eingabe'!$B$15),0))</x:f>
        <x:v>63</x:v>
      </x:c>
      <x:c r="N110" s="106"/>
      <x:c r="O110" s="106"/>
      <x:c r="P110" s="116"/>
      <x:c r="Q110" s="213" t="n">
        <x:f>IF(C110="Wochenende",1,0)</x:f>
        <x:v>0</x:v>
      </x:c>
      <x:c r="R110" s="213" t="n">
        <x:f>IF(AND(B110&lt;&gt;"Betriebsferien",OR(WEEKDAY(A110,2)=2,WEEKDAY(A110,2)=4)),1,0)</x:f>
        <x:v>1</x:v>
      </x:c>
      <x:c r="S110" s="214" t="n">
        <x:f>R110*MIN(1,'00_Eingabe'!$B$62/'00_Eingabe'!$B$61)</x:f>
        <x:v>0.5</x:v>
      </x:c>
      <x:c r="T110" s="213" t="n">
        <x:f>IF(B110="Betriebsferien",0,IF(B110="Nebensaison",IF(OR(WEEKDAY(A110,2)=1,WEEKDAY(A110,2)=3,WEEKDAY(A110,2)=5),1,0),IF(C110="Unterwoche",1,0)))</x:f>
        <x:v>0</x:v>
      </x:c>
      <x:c r="U110" s="213" t="n">
        <x:f>IF(B110="Betriebsferien",0,'00_Eingabe'!$G$24)</x:f>
        <x:v>8</x:v>
      </x:c>
    </x:row>
    <x:row r="111">
      <x:c r="A111" s="121" t="n">
        <x:f>IF(ROW()-4&lt;DATE('00_Eingabe'!$B$7+1,1,1)-DATE('00_Eingabe'!$B$7,1,1),DATE('00_Eingabe'!$B$7,1,1)+ROW()-4,"")</x:f>
        <x:v>45765</x:v>
      </x:c>
      <x:c r="B111" s="122" t="str">
        <x:f>IF(A111="","",IF(OR(AND(MONTH(A111)=12,DAY(A111)&gt;=20),AND(MONTH(A111)=1,DAY(A111)&lt;=2)),"Weihnachten",IF(OR(AND(MONTH(A111)=11,DAY(A111)&gt;=24),AND(MONTH(A111)=12,DAY(A111)&lt;=7)),"Betriebsferien",IF(OR(AND(MONTH(A111)=1,DAY(A111)&gt;=3),MONTH(A111)=2,MONTH(A111)=3,MONTH(A111)=4,MONTH(A111)=10,MONTH(A111)=11,AND(MONTH(A111)=12,DAY(A111)&lt;=15)),"Nebensaison","Hauptsaison"))))</x:f>
        <x:v>Nebensaison</x:v>
      </x:c>
      <x:c r="C111" s="122" t="str">
        <x:f>IF(A111="","",IF(WEEKDAY(A111,2)&gt;=6,"Wochenende","Unterwoche"))</x:f>
        <x:v>Unterwoche</x:v>
      </x:c>
      <x:c r="D111" s="123" t="n">
        <x:f>IF(A111="","",IF(N111&lt;&gt;"",N111,IF(B111="Nebensaison",IF(C111="Wochenende",'00_Eingabe'!$C$24,'00_Eingabe'!$B$24),IF(B111="Hauptsaison",IF(C111="Wochenende",'00_Eingabe'!$C$25,'00_Eingabe'!$B$25),IF(B111="Weihnachten",IF(C111="Wochenende",'00_Eingabe'!$C$26,'00_Eingabe'!$B$26),IF(C111="Wochenende",'00_Eingabe'!$C$27,'00_Eingabe'!$B$27))))))</x:f>
        <x:v>0.7</x:v>
      </x:c>
      <x:c r="E111" s="122" t="n">
        <x:f>IF(OR(A111="",D111=""),"",ROUND('00_Eingabe'!$B$8*D111,0))</x:f>
        <x:v>25</x:v>
      </x:c>
      <x:c r="F111" s="122" t="n">
        <x:f>IF(E111="","",ROUND(E111*'00_Eingabe'!$B$18,0))</x:f>
        <x:v>48</x:v>
      </x:c>
      <x:c r="G111" s="123" t="n">
        <x:f>IF(A111="","",IF(O111&lt;&gt;"",O111,IF(B111="Nebensaison",IF(C111="Wochenende",'00_Eingabe'!$E$24,'00_Eingabe'!$D$24),IF(B111="Hauptsaison",IF(C111="Wochenende",'00_Eingabe'!$E$25,'00_Eingabe'!$D$25),IF(B111="Weihnachten",IF(C111="Wochenende",'00_Eingabe'!$E$26,'00_Eingabe'!$D$26),IF(C111="Wochenende",'00_Eingabe'!$E$27,'00_Eingabe'!$D$27))))))</x:f>
        <x:v>0.7</x:v>
      </x:c>
      <x:c r="H111" s="122" t="n">
        <x:f>IF(OR(A111="",G111=""),"",ROUND('00_Eingabe'!$B$9*G111,0))</x:f>
        <x:v>3</x:v>
      </x:c>
      <x:c r="I111" s="122" t="n">
        <x:f>IF(H111="","",ROUND(H111*'00_Eingabe'!$B$19,0))</x:f>
        <x:v>7</x:v>
      </x:c>
      <x:c r="J111" s="122" t="n">
        <x:f>IF(OR(F111="",I111=""),"",F111+I111)</x:f>
        <x:v>55</x:v>
      </x:c>
      <x:c r="K111" s="122" t="n">
        <x:f>IF(J111="","",ROUND(J111*'00_Eingabe'!$B$16*(1+'00_Eingabe'!$B$14),0))</x:f>
        <x:v>63</x:v>
      </x:c>
      <x:c r="L111" s="122" t="n">
        <x:f>IF(B111="Betriebsferien",0,ROUND(J111*'00_Eingabe'!$B$40,0)+IF(C111="Wochenende",'00_Eingabe'!$B$42,'00_Eingabe'!$B$41))</x:f>
        <x:v>55</x:v>
      </x:c>
      <x:c r="M111" s="123" t="n">
        <x:f>IF(J111="","",ROUND(J111*'00_Eingabe'!$B$17*(1+'00_Eingabe'!$B$15),0))</x:f>
        <x:v>63</x:v>
      </x:c>
      <x:c r="N111" s="106"/>
      <x:c r="O111" s="106"/>
      <x:c r="P111" s="116"/>
      <x:c r="Q111" s="213" t="n">
        <x:f>IF(C111="Wochenende",1,0)</x:f>
        <x:v>0</x:v>
      </x:c>
      <x:c r="R111" s="213" t="n">
        <x:f>IF(AND(B111&lt;&gt;"Betriebsferien",OR(WEEKDAY(A111,2)=2,WEEKDAY(A111,2)=4)),1,0)</x:f>
        <x:v>0</x:v>
      </x:c>
      <x:c r="S111" s="214" t="n">
        <x:f>R111*MIN(1,'00_Eingabe'!$B$62/'00_Eingabe'!$B$61)</x:f>
        <x:v>0</x:v>
      </x:c>
      <x:c r="T111" s="213" t="n">
        <x:f>IF(B111="Betriebsferien",0,IF(B111="Nebensaison",IF(OR(WEEKDAY(A111,2)=1,WEEKDAY(A111,2)=3,WEEKDAY(A111,2)=5),1,0),IF(C111="Unterwoche",1,0)))</x:f>
        <x:v>1</x:v>
      </x:c>
      <x:c r="U111" s="213" t="n">
        <x:f>IF(B111="Betriebsferien",0,'00_Eingabe'!$G$24)</x:f>
        <x:v>8</x:v>
      </x:c>
    </x:row>
    <x:row r="112">
      <x:c r="A112" s="121" t="n">
        <x:f>IF(ROW()-4&lt;DATE('00_Eingabe'!$B$7+1,1,1)-DATE('00_Eingabe'!$B$7,1,1),DATE('00_Eingabe'!$B$7,1,1)+ROW()-4,"")</x:f>
        <x:v>45766</x:v>
      </x:c>
      <x:c r="B112" s="122" t="str">
        <x:f>IF(A112="","",IF(OR(AND(MONTH(A112)=12,DAY(A112)&gt;=20),AND(MONTH(A112)=1,DAY(A112)&lt;=2)),"Weihnachten",IF(OR(AND(MONTH(A112)=11,DAY(A112)&gt;=24),AND(MONTH(A112)=12,DAY(A112)&lt;=7)),"Betriebsferien",IF(OR(AND(MONTH(A112)=1,DAY(A112)&gt;=3),MONTH(A112)=2,MONTH(A112)=3,MONTH(A112)=4,MONTH(A112)=10,MONTH(A112)=11,AND(MONTH(A112)=12,DAY(A112)&lt;=15)),"Nebensaison","Hauptsaison"))))</x:f>
        <x:v>Nebensaison</x:v>
      </x:c>
      <x:c r="C112" s="122" t="str">
        <x:f>IF(A112="","",IF(WEEKDAY(A112,2)&gt;=6,"Wochenende","Unterwoche"))</x:f>
        <x:v>Wochenende</x:v>
      </x:c>
      <x:c r="D112" s="123" t="n">
        <x:f>IF(A112="","",IF(N112&lt;&gt;"",N112,IF(B112="Nebensaison",IF(C112="Wochenende",'00_Eingabe'!$C$24,'00_Eingabe'!$B$24),IF(B112="Hauptsaison",IF(C112="Wochenende",'00_Eingabe'!$C$25,'00_Eingabe'!$B$25),IF(B112="Weihnachten",IF(C112="Wochenende",'00_Eingabe'!$C$26,'00_Eingabe'!$B$26),IF(C112="Wochenende",'00_Eingabe'!$C$27,'00_Eingabe'!$B$27))))))</x:f>
        <x:v>0.75</x:v>
      </x:c>
      <x:c r="E112" s="122" t="n">
        <x:f>IF(OR(A112="",D112=""),"",ROUND('00_Eingabe'!$B$8*D112,0))</x:f>
        <x:v>26</x:v>
      </x:c>
      <x:c r="F112" s="122" t="n">
        <x:f>IF(E112="","",ROUND(E112*'00_Eingabe'!$B$18,0))</x:f>
        <x:v>49</x:v>
      </x:c>
      <x:c r="G112" s="123" t="n">
        <x:f>IF(A112="","",IF(O112&lt;&gt;"",O112,IF(B112="Nebensaison",IF(C112="Wochenende",'00_Eingabe'!$E$24,'00_Eingabe'!$D$24),IF(B112="Hauptsaison",IF(C112="Wochenende",'00_Eingabe'!$E$25,'00_Eingabe'!$D$25),IF(B112="Weihnachten",IF(C112="Wochenende",'00_Eingabe'!$E$26,'00_Eingabe'!$D$26),IF(C112="Wochenende",'00_Eingabe'!$E$27,'00_Eingabe'!$D$27))))))</x:f>
        <x:v>0.75</x:v>
      </x:c>
      <x:c r="H112" s="122" t="n">
        <x:f>IF(OR(A112="",G112=""),"",ROUND('00_Eingabe'!$B$9*G112,0))</x:f>
        <x:v>3</x:v>
      </x:c>
      <x:c r="I112" s="122" t="n">
        <x:f>IF(H112="","",ROUND(H112*'00_Eingabe'!$B$19,0))</x:f>
        <x:v>7</x:v>
      </x:c>
      <x:c r="J112" s="122" t="n">
        <x:f>IF(OR(F112="",I112=""),"",F112+I112)</x:f>
        <x:v>56</x:v>
      </x:c>
      <x:c r="K112" s="122" t="n">
        <x:f>IF(J112="","",ROUND(J112*'00_Eingabe'!$B$16*(1+'00_Eingabe'!$B$14),0))</x:f>
        <x:v>64</x:v>
      </x:c>
      <x:c r="L112" s="122" t="n">
        <x:f>IF(B112="Betriebsferien",0,ROUND(J112*'00_Eingabe'!$B$40,0)+IF(C112="Wochenende",'00_Eingabe'!$B$42,'00_Eingabe'!$B$41))</x:f>
        <x:v>80</x:v>
      </x:c>
      <x:c r="M112" s="123" t="n">
        <x:f>IF(J112="","",ROUND(J112*'00_Eingabe'!$B$17*(1+'00_Eingabe'!$B$15),0))</x:f>
        <x:v>64</x:v>
      </x:c>
      <x:c r="N112" s="106"/>
      <x:c r="O112" s="106"/>
      <x:c r="P112" s="116"/>
      <x:c r="Q112" s="213" t="n">
        <x:f>IF(C112="Wochenende",1,0)</x:f>
        <x:v>1</x:v>
      </x:c>
      <x:c r="R112" s="213" t="n">
        <x:f>IF(AND(B112&lt;&gt;"Betriebsferien",OR(WEEKDAY(A112,2)=2,WEEKDAY(A112,2)=4)),1,0)</x:f>
        <x:v>0</x:v>
      </x:c>
      <x:c r="S112" s="214" t="n">
        <x:f>R112*MIN(1,'00_Eingabe'!$B$62/'00_Eingabe'!$B$61)</x:f>
        <x:v>0</x:v>
      </x:c>
      <x:c r="T112" s="213" t="n">
        <x:f>IF(B112="Betriebsferien",0,IF(B112="Nebensaison",IF(OR(WEEKDAY(A112,2)=1,WEEKDAY(A112,2)=3,WEEKDAY(A112,2)=5),1,0),IF(C112="Unterwoche",1,0)))</x:f>
        <x:v>0</x:v>
      </x:c>
      <x:c r="U112" s="213" t="n">
        <x:f>IF(B112="Betriebsferien",0,'00_Eingabe'!$G$24)</x:f>
        <x:v>8</x:v>
      </x:c>
    </x:row>
    <x:row r="113">
      <x:c r="A113" s="121" t="n">
        <x:f>IF(ROW()-4&lt;DATE('00_Eingabe'!$B$7+1,1,1)-DATE('00_Eingabe'!$B$7,1,1),DATE('00_Eingabe'!$B$7,1,1)+ROW()-4,"")</x:f>
        <x:v>45767</x:v>
      </x:c>
      <x:c r="B113" s="122" t="str">
        <x:f>IF(A113="","",IF(OR(AND(MONTH(A113)=12,DAY(A113)&gt;=20),AND(MONTH(A113)=1,DAY(A113)&lt;=2)),"Weihnachten",IF(OR(AND(MONTH(A113)=11,DAY(A113)&gt;=24),AND(MONTH(A113)=12,DAY(A113)&lt;=7)),"Betriebsferien",IF(OR(AND(MONTH(A113)=1,DAY(A113)&gt;=3),MONTH(A113)=2,MONTH(A113)=3,MONTH(A113)=4,MONTH(A113)=10,MONTH(A113)=11,AND(MONTH(A113)=12,DAY(A113)&lt;=15)),"Nebensaison","Hauptsaison"))))</x:f>
        <x:v>Nebensaison</x:v>
      </x:c>
      <x:c r="C113" s="122" t="str">
        <x:f>IF(A113="","",IF(WEEKDAY(A113,2)&gt;=6,"Wochenende","Unterwoche"))</x:f>
        <x:v>Wochenende</x:v>
      </x:c>
      <x:c r="D113" s="123" t="n">
        <x:f>IF(A113="","",IF(N113&lt;&gt;"",N113,IF(B113="Nebensaison",IF(C113="Wochenende",'00_Eingabe'!$C$24,'00_Eingabe'!$B$24),IF(B113="Hauptsaison",IF(C113="Wochenende",'00_Eingabe'!$C$25,'00_Eingabe'!$B$25),IF(B113="Weihnachten",IF(C113="Wochenende",'00_Eingabe'!$C$26,'00_Eingabe'!$B$26),IF(C113="Wochenende",'00_Eingabe'!$C$27,'00_Eingabe'!$B$27))))))</x:f>
        <x:v>0.75</x:v>
      </x:c>
      <x:c r="E113" s="122" t="n">
        <x:f>IF(OR(A113="",D113=""),"",ROUND('00_Eingabe'!$B$8*D113,0))</x:f>
        <x:v>26</x:v>
      </x:c>
      <x:c r="F113" s="122" t="n">
        <x:f>IF(E113="","",ROUND(E113*'00_Eingabe'!$B$18,0))</x:f>
        <x:v>49</x:v>
      </x:c>
      <x:c r="G113" s="123" t="n">
        <x:f>IF(A113="","",IF(O113&lt;&gt;"",O113,IF(B113="Nebensaison",IF(C113="Wochenende",'00_Eingabe'!$E$24,'00_Eingabe'!$D$24),IF(B113="Hauptsaison",IF(C113="Wochenende",'00_Eingabe'!$E$25,'00_Eingabe'!$D$25),IF(B113="Weihnachten",IF(C113="Wochenende",'00_Eingabe'!$E$26,'00_Eingabe'!$D$26),IF(C113="Wochenende",'00_Eingabe'!$E$27,'00_Eingabe'!$D$27))))))</x:f>
        <x:v>0.75</x:v>
      </x:c>
      <x:c r="H113" s="122" t="n">
        <x:f>IF(OR(A113="",G113=""),"",ROUND('00_Eingabe'!$B$9*G113,0))</x:f>
        <x:v>3</x:v>
      </x:c>
      <x:c r="I113" s="122" t="n">
        <x:f>IF(H113="","",ROUND(H113*'00_Eingabe'!$B$19,0))</x:f>
        <x:v>7</x:v>
      </x:c>
      <x:c r="J113" s="122" t="n">
        <x:f>IF(OR(F113="",I113=""),"",F113+I113)</x:f>
        <x:v>56</x:v>
      </x:c>
      <x:c r="K113" s="122" t="n">
        <x:f>IF(J113="","",ROUND(J113*'00_Eingabe'!$B$16*(1+'00_Eingabe'!$B$14),0))</x:f>
        <x:v>64</x:v>
      </x:c>
      <x:c r="L113" s="122" t="n">
        <x:f>IF(B113="Betriebsferien",0,ROUND(J113*'00_Eingabe'!$B$40,0)+IF(C113="Wochenende",'00_Eingabe'!$B$42,'00_Eingabe'!$B$41))</x:f>
        <x:v>80</x:v>
      </x:c>
      <x:c r="M113" s="123" t="n">
        <x:f>IF(J113="","",ROUND(J113*'00_Eingabe'!$B$17*(1+'00_Eingabe'!$B$15),0))</x:f>
        <x:v>64</x:v>
      </x:c>
      <x:c r="N113" s="106"/>
      <x:c r="O113" s="106"/>
      <x:c r="P113" s="116"/>
      <x:c r="Q113" s="213" t="n">
        <x:f>IF(C113="Wochenende",1,0)</x:f>
        <x:v>1</x:v>
      </x:c>
      <x:c r="R113" s="213" t="n">
        <x:f>IF(AND(B113&lt;&gt;"Betriebsferien",OR(WEEKDAY(A113,2)=2,WEEKDAY(A113,2)=4)),1,0)</x:f>
        <x:v>0</x:v>
      </x:c>
      <x:c r="S113" s="214" t="n">
        <x:f>R113*MIN(1,'00_Eingabe'!$B$62/'00_Eingabe'!$B$61)</x:f>
        <x:v>0</x:v>
      </x:c>
      <x:c r="T113" s="213" t="n">
        <x:f>IF(B113="Betriebsferien",0,IF(B113="Nebensaison",IF(OR(WEEKDAY(A113,2)=1,WEEKDAY(A113,2)=3,WEEKDAY(A113,2)=5),1,0),IF(C113="Unterwoche",1,0)))</x:f>
        <x:v>0</x:v>
      </x:c>
      <x:c r="U113" s="213" t="n">
        <x:f>IF(B113="Betriebsferien",0,'00_Eingabe'!$G$24)</x:f>
        <x:v>8</x:v>
      </x:c>
    </x:row>
    <x:row r="114">
      <x:c r="A114" s="121" t="n">
        <x:f>IF(ROW()-4&lt;DATE('00_Eingabe'!$B$7+1,1,1)-DATE('00_Eingabe'!$B$7,1,1),DATE('00_Eingabe'!$B$7,1,1)+ROW()-4,"")</x:f>
        <x:v>45768</x:v>
      </x:c>
      <x:c r="B114" s="122" t="str">
        <x:f>IF(A114="","",IF(OR(AND(MONTH(A114)=12,DAY(A114)&gt;=20),AND(MONTH(A114)=1,DAY(A114)&lt;=2)),"Weihnachten",IF(OR(AND(MONTH(A114)=11,DAY(A114)&gt;=24),AND(MONTH(A114)=12,DAY(A114)&lt;=7)),"Betriebsferien",IF(OR(AND(MONTH(A114)=1,DAY(A114)&gt;=3),MONTH(A114)=2,MONTH(A114)=3,MONTH(A114)=4,MONTH(A114)=10,MONTH(A114)=11,AND(MONTH(A114)=12,DAY(A114)&lt;=15)),"Nebensaison","Hauptsaison"))))</x:f>
        <x:v>Nebensaison</x:v>
      </x:c>
      <x:c r="C114" s="122" t="str">
        <x:f>IF(A114="","",IF(WEEKDAY(A114,2)&gt;=6,"Wochenende","Unterwoche"))</x:f>
        <x:v>Unterwoche</x:v>
      </x:c>
      <x:c r="D114" s="123" t="n">
        <x:f>IF(A114="","",IF(N114&lt;&gt;"",N114,IF(B114="Nebensaison",IF(C114="Wochenende",'00_Eingabe'!$C$24,'00_Eingabe'!$B$24),IF(B114="Hauptsaison",IF(C114="Wochenende",'00_Eingabe'!$C$25,'00_Eingabe'!$B$25),IF(B114="Weihnachten",IF(C114="Wochenende",'00_Eingabe'!$C$26,'00_Eingabe'!$B$26),IF(C114="Wochenende",'00_Eingabe'!$C$27,'00_Eingabe'!$B$27))))))</x:f>
        <x:v>0.7</x:v>
      </x:c>
      <x:c r="E114" s="122" t="n">
        <x:f>IF(OR(A114="",D114=""),"",ROUND('00_Eingabe'!$B$8*D114,0))</x:f>
        <x:v>25</x:v>
      </x:c>
      <x:c r="F114" s="122" t="n">
        <x:f>IF(E114="","",ROUND(E114*'00_Eingabe'!$B$18,0))</x:f>
        <x:v>48</x:v>
      </x:c>
      <x:c r="G114" s="123" t="n">
        <x:f>IF(A114="","",IF(O114&lt;&gt;"",O114,IF(B114="Nebensaison",IF(C114="Wochenende",'00_Eingabe'!$E$24,'00_Eingabe'!$D$24),IF(B114="Hauptsaison",IF(C114="Wochenende",'00_Eingabe'!$E$25,'00_Eingabe'!$D$25),IF(B114="Weihnachten",IF(C114="Wochenende",'00_Eingabe'!$E$26,'00_Eingabe'!$D$26),IF(C114="Wochenende",'00_Eingabe'!$E$27,'00_Eingabe'!$D$27))))))</x:f>
        <x:v>0.7</x:v>
      </x:c>
      <x:c r="H114" s="122" t="n">
        <x:f>IF(OR(A114="",G114=""),"",ROUND('00_Eingabe'!$B$9*G114,0))</x:f>
        <x:v>3</x:v>
      </x:c>
      <x:c r="I114" s="122" t="n">
        <x:f>IF(H114="","",ROUND(H114*'00_Eingabe'!$B$19,0))</x:f>
        <x:v>7</x:v>
      </x:c>
      <x:c r="J114" s="122" t="n">
        <x:f>IF(OR(F114="",I114=""),"",F114+I114)</x:f>
        <x:v>55</x:v>
      </x:c>
      <x:c r="K114" s="122" t="n">
        <x:f>IF(J114="","",ROUND(J114*'00_Eingabe'!$B$16*(1+'00_Eingabe'!$B$14),0))</x:f>
        <x:v>63</x:v>
      </x:c>
      <x:c r="L114" s="122" t="n">
        <x:f>IF(B114="Betriebsferien",0,ROUND(J114*'00_Eingabe'!$B$40,0)+IF(C114="Wochenende",'00_Eingabe'!$B$42,'00_Eingabe'!$B$41))</x:f>
        <x:v>55</x:v>
      </x:c>
      <x:c r="M114" s="123" t="n">
        <x:f>IF(J114="","",ROUND(J114*'00_Eingabe'!$B$17*(1+'00_Eingabe'!$B$15),0))</x:f>
        <x:v>63</x:v>
      </x:c>
      <x:c r="N114" s="106"/>
      <x:c r="O114" s="106"/>
      <x:c r="P114" s="116"/>
      <x:c r="Q114" s="213" t="n">
        <x:f>IF(C114="Wochenende",1,0)</x:f>
        <x:v>0</x:v>
      </x:c>
      <x:c r="R114" s="213" t="n">
        <x:f>IF(AND(B114&lt;&gt;"Betriebsferien",OR(WEEKDAY(A114,2)=2,WEEKDAY(A114,2)=4)),1,0)</x:f>
        <x:v>0</x:v>
      </x:c>
      <x:c r="S114" s="214" t="n">
        <x:f>R114*MIN(1,'00_Eingabe'!$B$62/'00_Eingabe'!$B$61)</x:f>
        <x:v>0</x:v>
      </x:c>
      <x:c r="T114" s="213" t="n">
        <x:f>IF(B114="Betriebsferien",0,IF(B114="Nebensaison",IF(OR(WEEKDAY(A114,2)=1,WEEKDAY(A114,2)=3,WEEKDAY(A114,2)=5),1,0),IF(C114="Unterwoche",1,0)))</x:f>
        <x:v>1</x:v>
      </x:c>
      <x:c r="U114" s="213" t="n">
        <x:f>IF(B114="Betriebsferien",0,'00_Eingabe'!$G$24)</x:f>
        <x:v>8</x:v>
      </x:c>
    </x:row>
    <x:row r="115">
      <x:c r="A115" s="121" t="n">
        <x:f>IF(ROW()-4&lt;DATE('00_Eingabe'!$B$7+1,1,1)-DATE('00_Eingabe'!$B$7,1,1),DATE('00_Eingabe'!$B$7,1,1)+ROW()-4,"")</x:f>
        <x:v>45769</x:v>
      </x:c>
      <x:c r="B115" s="122" t="str">
        <x:f>IF(A115="","",IF(OR(AND(MONTH(A115)=12,DAY(A115)&gt;=20),AND(MONTH(A115)=1,DAY(A115)&lt;=2)),"Weihnachten",IF(OR(AND(MONTH(A115)=11,DAY(A115)&gt;=24),AND(MONTH(A115)=12,DAY(A115)&lt;=7)),"Betriebsferien",IF(OR(AND(MONTH(A115)=1,DAY(A115)&gt;=3),MONTH(A115)=2,MONTH(A115)=3,MONTH(A115)=4,MONTH(A115)=10,MONTH(A115)=11,AND(MONTH(A115)=12,DAY(A115)&lt;=15)),"Nebensaison","Hauptsaison"))))</x:f>
        <x:v>Nebensaison</x:v>
      </x:c>
      <x:c r="C115" s="122" t="str">
        <x:f>IF(A115="","",IF(WEEKDAY(A115,2)&gt;=6,"Wochenende","Unterwoche"))</x:f>
        <x:v>Unterwoche</x:v>
      </x:c>
      <x:c r="D115" s="123" t="n">
        <x:f>IF(A115="","",IF(N115&lt;&gt;"",N115,IF(B115="Nebensaison",IF(C115="Wochenende",'00_Eingabe'!$C$24,'00_Eingabe'!$B$24),IF(B115="Hauptsaison",IF(C115="Wochenende",'00_Eingabe'!$C$25,'00_Eingabe'!$B$25),IF(B115="Weihnachten",IF(C115="Wochenende",'00_Eingabe'!$C$26,'00_Eingabe'!$B$26),IF(C115="Wochenende",'00_Eingabe'!$C$27,'00_Eingabe'!$B$27))))))</x:f>
        <x:v>0.7</x:v>
      </x:c>
      <x:c r="E115" s="122" t="n">
        <x:f>IF(OR(A115="",D115=""),"",ROUND('00_Eingabe'!$B$8*D115,0))</x:f>
        <x:v>25</x:v>
      </x:c>
      <x:c r="F115" s="122" t="n">
        <x:f>IF(E115="","",ROUND(E115*'00_Eingabe'!$B$18,0))</x:f>
        <x:v>48</x:v>
      </x:c>
      <x:c r="G115" s="123" t="n">
        <x:f>IF(A115="","",IF(O115&lt;&gt;"",O115,IF(B115="Nebensaison",IF(C115="Wochenende",'00_Eingabe'!$E$24,'00_Eingabe'!$D$24),IF(B115="Hauptsaison",IF(C115="Wochenende",'00_Eingabe'!$E$25,'00_Eingabe'!$D$25),IF(B115="Weihnachten",IF(C115="Wochenende",'00_Eingabe'!$E$26,'00_Eingabe'!$D$26),IF(C115="Wochenende",'00_Eingabe'!$E$27,'00_Eingabe'!$D$27))))))</x:f>
        <x:v>0.7</x:v>
      </x:c>
      <x:c r="H115" s="122" t="n">
        <x:f>IF(OR(A115="",G115=""),"",ROUND('00_Eingabe'!$B$9*G115,0))</x:f>
        <x:v>3</x:v>
      </x:c>
      <x:c r="I115" s="122" t="n">
        <x:f>IF(H115="","",ROUND(H115*'00_Eingabe'!$B$19,0))</x:f>
        <x:v>7</x:v>
      </x:c>
      <x:c r="J115" s="122" t="n">
        <x:f>IF(OR(F115="",I115=""),"",F115+I115)</x:f>
        <x:v>55</x:v>
      </x:c>
      <x:c r="K115" s="122" t="n">
        <x:f>IF(J115="","",ROUND(J115*'00_Eingabe'!$B$16*(1+'00_Eingabe'!$B$14),0))</x:f>
        <x:v>63</x:v>
      </x:c>
      <x:c r="L115" s="122" t="n">
        <x:f>IF(B115="Betriebsferien",0,ROUND(J115*'00_Eingabe'!$B$40,0)+IF(C115="Wochenende",'00_Eingabe'!$B$42,'00_Eingabe'!$B$41))</x:f>
        <x:v>55</x:v>
      </x:c>
      <x:c r="M115" s="123" t="n">
        <x:f>IF(J115="","",ROUND(J115*'00_Eingabe'!$B$17*(1+'00_Eingabe'!$B$15),0))</x:f>
        <x:v>63</x:v>
      </x:c>
      <x:c r="N115" s="106"/>
      <x:c r="O115" s="106"/>
      <x:c r="P115" s="116"/>
      <x:c r="Q115" s="213" t="n">
        <x:f>IF(C115="Wochenende",1,0)</x:f>
        <x:v>0</x:v>
      </x:c>
      <x:c r="R115" s="213" t="n">
        <x:f>IF(AND(B115&lt;&gt;"Betriebsferien",OR(WEEKDAY(A115,2)=2,WEEKDAY(A115,2)=4)),1,0)</x:f>
        <x:v>1</x:v>
      </x:c>
      <x:c r="S115" s="214" t="n">
        <x:f>R115*MIN(1,'00_Eingabe'!$B$62/'00_Eingabe'!$B$61)</x:f>
        <x:v>0.5</x:v>
      </x:c>
      <x:c r="T115" s="213" t="n">
        <x:f>IF(B115="Betriebsferien",0,IF(B115="Nebensaison",IF(OR(WEEKDAY(A115,2)=1,WEEKDAY(A115,2)=3,WEEKDAY(A115,2)=5),1,0),IF(C115="Unterwoche",1,0)))</x:f>
        <x:v>0</x:v>
      </x:c>
      <x:c r="U115" s="213" t="n">
        <x:f>IF(B115="Betriebsferien",0,'00_Eingabe'!$G$24)</x:f>
        <x:v>8</x:v>
      </x:c>
    </x:row>
    <x:row r="116">
      <x:c r="A116" s="121" t="n">
        <x:f>IF(ROW()-4&lt;DATE('00_Eingabe'!$B$7+1,1,1)-DATE('00_Eingabe'!$B$7,1,1),DATE('00_Eingabe'!$B$7,1,1)+ROW()-4,"")</x:f>
        <x:v>45770</x:v>
      </x:c>
      <x:c r="B116" s="122" t="str">
        <x:f>IF(A116="","",IF(OR(AND(MONTH(A116)=12,DAY(A116)&gt;=20),AND(MONTH(A116)=1,DAY(A116)&lt;=2)),"Weihnachten",IF(OR(AND(MONTH(A116)=11,DAY(A116)&gt;=24),AND(MONTH(A116)=12,DAY(A116)&lt;=7)),"Betriebsferien",IF(OR(AND(MONTH(A116)=1,DAY(A116)&gt;=3),MONTH(A116)=2,MONTH(A116)=3,MONTH(A116)=4,MONTH(A116)=10,MONTH(A116)=11,AND(MONTH(A116)=12,DAY(A116)&lt;=15)),"Nebensaison","Hauptsaison"))))</x:f>
        <x:v>Nebensaison</x:v>
      </x:c>
      <x:c r="C116" s="122" t="str">
        <x:f>IF(A116="","",IF(WEEKDAY(A116,2)&gt;=6,"Wochenende","Unterwoche"))</x:f>
        <x:v>Unterwoche</x:v>
      </x:c>
      <x:c r="D116" s="123" t="n">
        <x:f>IF(A116="","",IF(N116&lt;&gt;"",N116,IF(B116="Nebensaison",IF(C116="Wochenende",'00_Eingabe'!$C$24,'00_Eingabe'!$B$24),IF(B116="Hauptsaison",IF(C116="Wochenende",'00_Eingabe'!$C$25,'00_Eingabe'!$B$25),IF(B116="Weihnachten",IF(C116="Wochenende",'00_Eingabe'!$C$26,'00_Eingabe'!$B$26),IF(C116="Wochenende",'00_Eingabe'!$C$27,'00_Eingabe'!$B$27))))))</x:f>
        <x:v>0.7</x:v>
      </x:c>
      <x:c r="E116" s="122" t="n">
        <x:f>IF(OR(A116="",D116=""),"",ROUND('00_Eingabe'!$B$8*D116,0))</x:f>
        <x:v>25</x:v>
      </x:c>
      <x:c r="F116" s="122" t="n">
        <x:f>IF(E116="","",ROUND(E116*'00_Eingabe'!$B$18,0))</x:f>
        <x:v>48</x:v>
      </x:c>
      <x:c r="G116" s="123" t="n">
        <x:f>IF(A116="","",IF(O116&lt;&gt;"",O116,IF(B116="Nebensaison",IF(C116="Wochenende",'00_Eingabe'!$E$24,'00_Eingabe'!$D$24),IF(B116="Hauptsaison",IF(C116="Wochenende",'00_Eingabe'!$E$25,'00_Eingabe'!$D$25),IF(B116="Weihnachten",IF(C116="Wochenende",'00_Eingabe'!$E$26,'00_Eingabe'!$D$26),IF(C116="Wochenende",'00_Eingabe'!$E$27,'00_Eingabe'!$D$27))))))</x:f>
        <x:v>0.7</x:v>
      </x:c>
      <x:c r="H116" s="122" t="n">
        <x:f>IF(OR(A116="",G116=""),"",ROUND('00_Eingabe'!$B$9*G116,0))</x:f>
        <x:v>3</x:v>
      </x:c>
      <x:c r="I116" s="122" t="n">
        <x:f>IF(H116="","",ROUND(H116*'00_Eingabe'!$B$19,0))</x:f>
        <x:v>7</x:v>
      </x:c>
      <x:c r="J116" s="122" t="n">
        <x:f>IF(OR(F116="",I116=""),"",F116+I116)</x:f>
        <x:v>55</x:v>
      </x:c>
      <x:c r="K116" s="122" t="n">
        <x:f>IF(J116="","",ROUND(J116*'00_Eingabe'!$B$16*(1+'00_Eingabe'!$B$14),0))</x:f>
        <x:v>63</x:v>
      </x:c>
      <x:c r="L116" s="122" t="n">
        <x:f>IF(B116="Betriebsferien",0,ROUND(J116*'00_Eingabe'!$B$40,0)+IF(C116="Wochenende",'00_Eingabe'!$B$42,'00_Eingabe'!$B$41))</x:f>
        <x:v>55</x:v>
      </x:c>
      <x:c r="M116" s="123" t="n">
        <x:f>IF(J116="","",ROUND(J116*'00_Eingabe'!$B$17*(1+'00_Eingabe'!$B$15),0))</x:f>
        <x:v>63</x:v>
      </x:c>
      <x:c r="N116" s="106"/>
      <x:c r="O116" s="106"/>
      <x:c r="P116" s="116"/>
      <x:c r="Q116" s="213" t="n">
        <x:f>IF(C116="Wochenende",1,0)</x:f>
        <x:v>0</x:v>
      </x:c>
      <x:c r="R116" s="213" t="n">
        <x:f>IF(AND(B116&lt;&gt;"Betriebsferien",OR(WEEKDAY(A116,2)=2,WEEKDAY(A116,2)=4)),1,0)</x:f>
        <x:v>0</x:v>
      </x:c>
      <x:c r="S116" s="214" t="n">
        <x:f>R116*MIN(1,'00_Eingabe'!$B$62/'00_Eingabe'!$B$61)</x:f>
        <x:v>0</x:v>
      </x:c>
      <x:c r="T116" s="213" t="n">
        <x:f>IF(B116="Betriebsferien",0,IF(B116="Nebensaison",IF(OR(WEEKDAY(A116,2)=1,WEEKDAY(A116,2)=3,WEEKDAY(A116,2)=5),1,0),IF(C116="Unterwoche",1,0)))</x:f>
        <x:v>1</x:v>
      </x:c>
      <x:c r="U116" s="213" t="n">
        <x:f>IF(B116="Betriebsferien",0,'00_Eingabe'!$G$24)</x:f>
        <x:v>8</x:v>
      </x:c>
    </x:row>
    <x:row r="117">
      <x:c r="A117" s="121" t="n">
        <x:f>IF(ROW()-4&lt;DATE('00_Eingabe'!$B$7+1,1,1)-DATE('00_Eingabe'!$B$7,1,1),DATE('00_Eingabe'!$B$7,1,1)+ROW()-4,"")</x:f>
        <x:v>45771</x:v>
      </x:c>
      <x:c r="B117" s="122" t="str">
        <x:f>IF(A117="","",IF(OR(AND(MONTH(A117)=12,DAY(A117)&gt;=20),AND(MONTH(A117)=1,DAY(A117)&lt;=2)),"Weihnachten",IF(OR(AND(MONTH(A117)=11,DAY(A117)&gt;=24),AND(MONTH(A117)=12,DAY(A117)&lt;=7)),"Betriebsferien",IF(OR(AND(MONTH(A117)=1,DAY(A117)&gt;=3),MONTH(A117)=2,MONTH(A117)=3,MONTH(A117)=4,MONTH(A117)=10,MONTH(A117)=11,AND(MONTH(A117)=12,DAY(A117)&lt;=15)),"Nebensaison","Hauptsaison"))))</x:f>
        <x:v>Nebensaison</x:v>
      </x:c>
      <x:c r="C117" s="122" t="str">
        <x:f>IF(A117="","",IF(WEEKDAY(A117,2)&gt;=6,"Wochenende","Unterwoche"))</x:f>
        <x:v>Unterwoche</x:v>
      </x:c>
      <x:c r="D117" s="123" t="n">
        <x:f>IF(A117="","",IF(N117&lt;&gt;"",N117,IF(B117="Nebensaison",IF(C117="Wochenende",'00_Eingabe'!$C$24,'00_Eingabe'!$B$24),IF(B117="Hauptsaison",IF(C117="Wochenende",'00_Eingabe'!$C$25,'00_Eingabe'!$B$25),IF(B117="Weihnachten",IF(C117="Wochenende",'00_Eingabe'!$C$26,'00_Eingabe'!$B$26),IF(C117="Wochenende",'00_Eingabe'!$C$27,'00_Eingabe'!$B$27))))))</x:f>
        <x:v>0.7</x:v>
      </x:c>
      <x:c r="E117" s="122" t="n">
        <x:f>IF(OR(A117="",D117=""),"",ROUND('00_Eingabe'!$B$8*D117,0))</x:f>
        <x:v>25</x:v>
      </x:c>
      <x:c r="F117" s="122" t="n">
        <x:f>IF(E117="","",ROUND(E117*'00_Eingabe'!$B$18,0))</x:f>
        <x:v>48</x:v>
      </x:c>
      <x:c r="G117" s="123" t="n">
        <x:f>IF(A117="","",IF(O117&lt;&gt;"",O117,IF(B117="Nebensaison",IF(C117="Wochenende",'00_Eingabe'!$E$24,'00_Eingabe'!$D$24),IF(B117="Hauptsaison",IF(C117="Wochenende",'00_Eingabe'!$E$25,'00_Eingabe'!$D$25),IF(B117="Weihnachten",IF(C117="Wochenende",'00_Eingabe'!$E$26,'00_Eingabe'!$D$26),IF(C117="Wochenende",'00_Eingabe'!$E$27,'00_Eingabe'!$D$27))))))</x:f>
        <x:v>0.7</x:v>
      </x:c>
      <x:c r="H117" s="122" t="n">
        <x:f>IF(OR(A117="",G117=""),"",ROUND('00_Eingabe'!$B$9*G117,0))</x:f>
        <x:v>3</x:v>
      </x:c>
      <x:c r="I117" s="122" t="n">
        <x:f>IF(H117="","",ROUND(H117*'00_Eingabe'!$B$19,0))</x:f>
        <x:v>7</x:v>
      </x:c>
      <x:c r="J117" s="122" t="n">
        <x:f>IF(OR(F117="",I117=""),"",F117+I117)</x:f>
        <x:v>55</x:v>
      </x:c>
      <x:c r="K117" s="122" t="n">
        <x:f>IF(J117="","",ROUND(J117*'00_Eingabe'!$B$16*(1+'00_Eingabe'!$B$14),0))</x:f>
        <x:v>63</x:v>
      </x:c>
      <x:c r="L117" s="122" t="n">
        <x:f>IF(B117="Betriebsferien",0,ROUND(J117*'00_Eingabe'!$B$40,0)+IF(C117="Wochenende",'00_Eingabe'!$B$42,'00_Eingabe'!$B$41))</x:f>
        <x:v>55</x:v>
      </x:c>
      <x:c r="M117" s="123" t="n">
        <x:f>IF(J117="","",ROUND(J117*'00_Eingabe'!$B$17*(1+'00_Eingabe'!$B$15),0))</x:f>
        <x:v>63</x:v>
      </x:c>
      <x:c r="N117" s="106"/>
      <x:c r="O117" s="106"/>
      <x:c r="P117" s="116"/>
      <x:c r="Q117" s="213" t="n">
        <x:f>IF(C117="Wochenende",1,0)</x:f>
        <x:v>0</x:v>
      </x:c>
      <x:c r="R117" s="213" t="n">
        <x:f>IF(AND(B117&lt;&gt;"Betriebsferien",OR(WEEKDAY(A117,2)=2,WEEKDAY(A117,2)=4)),1,0)</x:f>
        <x:v>1</x:v>
      </x:c>
      <x:c r="S117" s="214" t="n">
        <x:f>R117*MIN(1,'00_Eingabe'!$B$62/'00_Eingabe'!$B$61)</x:f>
        <x:v>0.5</x:v>
      </x:c>
      <x:c r="T117" s="213" t="n">
        <x:f>IF(B117="Betriebsferien",0,IF(B117="Nebensaison",IF(OR(WEEKDAY(A117,2)=1,WEEKDAY(A117,2)=3,WEEKDAY(A117,2)=5),1,0),IF(C117="Unterwoche",1,0)))</x:f>
        <x:v>0</x:v>
      </x:c>
      <x:c r="U117" s="213" t="n">
        <x:f>IF(B117="Betriebsferien",0,'00_Eingabe'!$G$24)</x:f>
        <x:v>8</x:v>
      </x:c>
    </x:row>
    <x:row r="118">
      <x:c r="A118" s="121" t="n">
        <x:f>IF(ROW()-4&lt;DATE('00_Eingabe'!$B$7+1,1,1)-DATE('00_Eingabe'!$B$7,1,1),DATE('00_Eingabe'!$B$7,1,1)+ROW()-4,"")</x:f>
        <x:v>45772</x:v>
      </x:c>
      <x:c r="B118" s="122" t="str">
        <x:f>IF(A118="","",IF(OR(AND(MONTH(A118)=12,DAY(A118)&gt;=20),AND(MONTH(A118)=1,DAY(A118)&lt;=2)),"Weihnachten",IF(OR(AND(MONTH(A118)=11,DAY(A118)&gt;=24),AND(MONTH(A118)=12,DAY(A118)&lt;=7)),"Betriebsferien",IF(OR(AND(MONTH(A118)=1,DAY(A118)&gt;=3),MONTH(A118)=2,MONTH(A118)=3,MONTH(A118)=4,MONTH(A118)=10,MONTH(A118)=11,AND(MONTH(A118)=12,DAY(A118)&lt;=15)),"Nebensaison","Hauptsaison"))))</x:f>
        <x:v>Nebensaison</x:v>
      </x:c>
      <x:c r="C118" s="122" t="str">
        <x:f>IF(A118="","",IF(WEEKDAY(A118,2)&gt;=6,"Wochenende","Unterwoche"))</x:f>
        <x:v>Unterwoche</x:v>
      </x:c>
      <x:c r="D118" s="123" t="n">
        <x:f>IF(A118="","",IF(N118&lt;&gt;"",N118,IF(B118="Nebensaison",IF(C118="Wochenende",'00_Eingabe'!$C$24,'00_Eingabe'!$B$24),IF(B118="Hauptsaison",IF(C118="Wochenende",'00_Eingabe'!$C$25,'00_Eingabe'!$B$25),IF(B118="Weihnachten",IF(C118="Wochenende",'00_Eingabe'!$C$26,'00_Eingabe'!$B$26),IF(C118="Wochenende",'00_Eingabe'!$C$27,'00_Eingabe'!$B$27))))))</x:f>
        <x:v>0.7</x:v>
      </x:c>
      <x:c r="E118" s="122" t="n">
        <x:f>IF(OR(A118="",D118=""),"",ROUND('00_Eingabe'!$B$8*D118,0))</x:f>
        <x:v>25</x:v>
      </x:c>
      <x:c r="F118" s="122" t="n">
        <x:f>IF(E118="","",ROUND(E118*'00_Eingabe'!$B$18,0))</x:f>
        <x:v>48</x:v>
      </x:c>
      <x:c r="G118" s="123" t="n">
        <x:f>IF(A118="","",IF(O118&lt;&gt;"",O118,IF(B118="Nebensaison",IF(C118="Wochenende",'00_Eingabe'!$E$24,'00_Eingabe'!$D$24),IF(B118="Hauptsaison",IF(C118="Wochenende",'00_Eingabe'!$E$25,'00_Eingabe'!$D$25),IF(B118="Weihnachten",IF(C118="Wochenende",'00_Eingabe'!$E$26,'00_Eingabe'!$D$26),IF(C118="Wochenende",'00_Eingabe'!$E$27,'00_Eingabe'!$D$27))))))</x:f>
        <x:v>0.7</x:v>
      </x:c>
      <x:c r="H118" s="122" t="n">
        <x:f>IF(OR(A118="",G118=""),"",ROUND('00_Eingabe'!$B$9*G118,0))</x:f>
        <x:v>3</x:v>
      </x:c>
      <x:c r="I118" s="122" t="n">
        <x:f>IF(H118="","",ROUND(H118*'00_Eingabe'!$B$19,0))</x:f>
        <x:v>7</x:v>
      </x:c>
      <x:c r="J118" s="122" t="n">
        <x:f>IF(OR(F118="",I118=""),"",F118+I118)</x:f>
        <x:v>55</x:v>
      </x:c>
      <x:c r="K118" s="122" t="n">
        <x:f>IF(J118="","",ROUND(J118*'00_Eingabe'!$B$16*(1+'00_Eingabe'!$B$14),0))</x:f>
        <x:v>63</x:v>
      </x:c>
      <x:c r="L118" s="122" t="n">
        <x:f>IF(B118="Betriebsferien",0,ROUND(J118*'00_Eingabe'!$B$40,0)+IF(C118="Wochenende",'00_Eingabe'!$B$42,'00_Eingabe'!$B$41))</x:f>
        <x:v>55</x:v>
      </x:c>
      <x:c r="M118" s="123" t="n">
        <x:f>IF(J118="","",ROUND(J118*'00_Eingabe'!$B$17*(1+'00_Eingabe'!$B$15),0))</x:f>
        <x:v>63</x:v>
      </x:c>
      <x:c r="N118" s="106"/>
      <x:c r="O118" s="106"/>
      <x:c r="P118" s="116"/>
      <x:c r="Q118" s="213" t="n">
        <x:f>IF(C118="Wochenende",1,0)</x:f>
        <x:v>0</x:v>
      </x:c>
      <x:c r="R118" s="213" t="n">
        <x:f>IF(AND(B118&lt;&gt;"Betriebsferien",OR(WEEKDAY(A118,2)=2,WEEKDAY(A118,2)=4)),1,0)</x:f>
        <x:v>0</x:v>
      </x:c>
      <x:c r="S118" s="214" t="n">
        <x:f>R118*MIN(1,'00_Eingabe'!$B$62/'00_Eingabe'!$B$61)</x:f>
        <x:v>0</x:v>
      </x:c>
      <x:c r="T118" s="213" t="n">
        <x:f>IF(B118="Betriebsferien",0,IF(B118="Nebensaison",IF(OR(WEEKDAY(A118,2)=1,WEEKDAY(A118,2)=3,WEEKDAY(A118,2)=5),1,0),IF(C118="Unterwoche",1,0)))</x:f>
        <x:v>1</x:v>
      </x:c>
      <x:c r="U118" s="213" t="n">
        <x:f>IF(B118="Betriebsferien",0,'00_Eingabe'!$G$24)</x:f>
        <x:v>8</x:v>
      </x:c>
    </x:row>
    <x:row r="119">
      <x:c r="A119" s="121" t="n">
        <x:f>IF(ROW()-4&lt;DATE('00_Eingabe'!$B$7+1,1,1)-DATE('00_Eingabe'!$B$7,1,1),DATE('00_Eingabe'!$B$7,1,1)+ROW()-4,"")</x:f>
        <x:v>45773</x:v>
      </x:c>
      <x:c r="B119" s="122" t="str">
        <x:f>IF(A119="","",IF(OR(AND(MONTH(A119)=12,DAY(A119)&gt;=20),AND(MONTH(A119)=1,DAY(A119)&lt;=2)),"Weihnachten",IF(OR(AND(MONTH(A119)=11,DAY(A119)&gt;=24),AND(MONTH(A119)=12,DAY(A119)&lt;=7)),"Betriebsferien",IF(OR(AND(MONTH(A119)=1,DAY(A119)&gt;=3),MONTH(A119)=2,MONTH(A119)=3,MONTH(A119)=4,MONTH(A119)=10,MONTH(A119)=11,AND(MONTH(A119)=12,DAY(A119)&lt;=15)),"Nebensaison","Hauptsaison"))))</x:f>
        <x:v>Nebensaison</x:v>
      </x:c>
      <x:c r="C119" s="122" t="str">
        <x:f>IF(A119="","",IF(WEEKDAY(A119,2)&gt;=6,"Wochenende","Unterwoche"))</x:f>
        <x:v>Wochenende</x:v>
      </x:c>
      <x:c r="D119" s="123" t="n">
        <x:f>IF(A119="","",IF(N119&lt;&gt;"",N119,IF(B119="Nebensaison",IF(C119="Wochenende",'00_Eingabe'!$C$24,'00_Eingabe'!$B$24),IF(B119="Hauptsaison",IF(C119="Wochenende",'00_Eingabe'!$C$25,'00_Eingabe'!$B$25),IF(B119="Weihnachten",IF(C119="Wochenende",'00_Eingabe'!$C$26,'00_Eingabe'!$B$26),IF(C119="Wochenende",'00_Eingabe'!$C$27,'00_Eingabe'!$B$27))))))</x:f>
        <x:v>0.75</x:v>
      </x:c>
      <x:c r="E119" s="122" t="n">
        <x:f>IF(OR(A119="",D119=""),"",ROUND('00_Eingabe'!$B$8*D119,0))</x:f>
        <x:v>26</x:v>
      </x:c>
      <x:c r="F119" s="122" t="n">
        <x:f>IF(E119="","",ROUND(E119*'00_Eingabe'!$B$18,0))</x:f>
        <x:v>49</x:v>
      </x:c>
      <x:c r="G119" s="123" t="n">
        <x:f>IF(A119="","",IF(O119&lt;&gt;"",O119,IF(B119="Nebensaison",IF(C119="Wochenende",'00_Eingabe'!$E$24,'00_Eingabe'!$D$24),IF(B119="Hauptsaison",IF(C119="Wochenende",'00_Eingabe'!$E$25,'00_Eingabe'!$D$25),IF(B119="Weihnachten",IF(C119="Wochenende",'00_Eingabe'!$E$26,'00_Eingabe'!$D$26),IF(C119="Wochenende",'00_Eingabe'!$E$27,'00_Eingabe'!$D$27))))))</x:f>
        <x:v>0.75</x:v>
      </x:c>
      <x:c r="H119" s="122" t="n">
        <x:f>IF(OR(A119="",G119=""),"",ROUND('00_Eingabe'!$B$9*G119,0))</x:f>
        <x:v>3</x:v>
      </x:c>
      <x:c r="I119" s="122" t="n">
        <x:f>IF(H119="","",ROUND(H119*'00_Eingabe'!$B$19,0))</x:f>
        <x:v>7</x:v>
      </x:c>
      <x:c r="J119" s="122" t="n">
        <x:f>IF(OR(F119="",I119=""),"",F119+I119)</x:f>
        <x:v>56</x:v>
      </x:c>
      <x:c r="K119" s="122" t="n">
        <x:f>IF(J119="","",ROUND(J119*'00_Eingabe'!$B$16*(1+'00_Eingabe'!$B$14),0))</x:f>
        <x:v>64</x:v>
      </x:c>
      <x:c r="L119" s="122" t="n">
        <x:f>IF(B119="Betriebsferien",0,ROUND(J119*'00_Eingabe'!$B$40,0)+IF(C119="Wochenende",'00_Eingabe'!$B$42,'00_Eingabe'!$B$41))</x:f>
        <x:v>80</x:v>
      </x:c>
      <x:c r="M119" s="123" t="n">
        <x:f>IF(J119="","",ROUND(J119*'00_Eingabe'!$B$17*(1+'00_Eingabe'!$B$15),0))</x:f>
        <x:v>64</x:v>
      </x:c>
      <x:c r="N119" s="106"/>
      <x:c r="O119" s="106"/>
      <x:c r="P119" s="116"/>
      <x:c r="Q119" s="213" t="n">
        <x:f>IF(C119="Wochenende",1,0)</x:f>
        <x:v>1</x:v>
      </x:c>
      <x:c r="R119" s="213" t="n">
        <x:f>IF(AND(B119&lt;&gt;"Betriebsferien",OR(WEEKDAY(A119,2)=2,WEEKDAY(A119,2)=4)),1,0)</x:f>
        <x:v>0</x:v>
      </x:c>
      <x:c r="S119" s="214" t="n">
        <x:f>R119*MIN(1,'00_Eingabe'!$B$62/'00_Eingabe'!$B$61)</x:f>
        <x:v>0</x:v>
      </x:c>
      <x:c r="T119" s="213" t="n">
        <x:f>IF(B119="Betriebsferien",0,IF(B119="Nebensaison",IF(OR(WEEKDAY(A119,2)=1,WEEKDAY(A119,2)=3,WEEKDAY(A119,2)=5),1,0),IF(C119="Unterwoche",1,0)))</x:f>
        <x:v>0</x:v>
      </x:c>
      <x:c r="U119" s="213" t="n">
        <x:f>IF(B119="Betriebsferien",0,'00_Eingabe'!$G$24)</x:f>
        <x:v>8</x:v>
      </x:c>
    </x:row>
    <x:row r="120">
      <x:c r="A120" s="121" t="n">
        <x:f>IF(ROW()-4&lt;DATE('00_Eingabe'!$B$7+1,1,1)-DATE('00_Eingabe'!$B$7,1,1),DATE('00_Eingabe'!$B$7,1,1)+ROW()-4,"")</x:f>
        <x:v>45774</x:v>
      </x:c>
      <x:c r="B120" s="122" t="str">
        <x:f>IF(A120="","",IF(OR(AND(MONTH(A120)=12,DAY(A120)&gt;=20),AND(MONTH(A120)=1,DAY(A120)&lt;=2)),"Weihnachten",IF(OR(AND(MONTH(A120)=11,DAY(A120)&gt;=24),AND(MONTH(A120)=12,DAY(A120)&lt;=7)),"Betriebsferien",IF(OR(AND(MONTH(A120)=1,DAY(A120)&gt;=3),MONTH(A120)=2,MONTH(A120)=3,MONTH(A120)=4,MONTH(A120)=10,MONTH(A120)=11,AND(MONTH(A120)=12,DAY(A120)&lt;=15)),"Nebensaison","Hauptsaison"))))</x:f>
        <x:v>Nebensaison</x:v>
      </x:c>
      <x:c r="C120" s="122" t="str">
        <x:f>IF(A120="","",IF(WEEKDAY(A120,2)&gt;=6,"Wochenende","Unterwoche"))</x:f>
        <x:v>Wochenende</x:v>
      </x:c>
      <x:c r="D120" s="123" t="n">
        <x:f>IF(A120="","",IF(N120&lt;&gt;"",N120,IF(B120="Nebensaison",IF(C120="Wochenende",'00_Eingabe'!$C$24,'00_Eingabe'!$B$24),IF(B120="Hauptsaison",IF(C120="Wochenende",'00_Eingabe'!$C$25,'00_Eingabe'!$B$25),IF(B120="Weihnachten",IF(C120="Wochenende",'00_Eingabe'!$C$26,'00_Eingabe'!$B$26),IF(C120="Wochenende",'00_Eingabe'!$C$27,'00_Eingabe'!$B$27))))))</x:f>
        <x:v>0.75</x:v>
      </x:c>
      <x:c r="E120" s="122" t="n">
        <x:f>IF(OR(A120="",D120=""),"",ROUND('00_Eingabe'!$B$8*D120,0))</x:f>
        <x:v>26</x:v>
      </x:c>
      <x:c r="F120" s="122" t="n">
        <x:f>IF(E120="","",ROUND(E120*'00_Eingabe'!$B$18,0))</x:f>
        <x:v>49</x:v>
      </x:c>
      <x:c r="G120" s="123" t="n">
        <x:f>IF(A120="","",IF(O120&lt;&gt;"",O120,IF(B120="Nebensaison",IF(C120="Wochenende",'00_Eingabe'!$E$24,'00_Eingabe'!$D$24),IF(B120="Hauptsaison",IF(C120="Wochenende",'00_Eingabe'!$E$25,'00_Eingabe'!$D$25),IF(B120="Weihnachten",IF(C120="Wochenende",'00_Eingabe'!$E$26,'00_Eingabe'!$D$26),IF(C120="Wochenende",'00_Eingabe'!$E$27,'00_Eingabe'!$D$27))))))</x:f>
        <x:v>0.75</x:v>
      </x:c>
      <x:c r="H120" s="122" t="n">
        <x:f>IF(OR(A120="",G120=""),"",ROUND('00_Eingabe'!$B$9*G120,0))</x:f>
        <x:v>3</x:v>
      </x:c>
      <x:c r="I120" s="122" t="n">
        <x:f>IF(H120="","",ROUND(H120*'00_Eingabe'!$B$19,0))</x:f>
        <x:v>7</x:v>
      </x:c>
      <x:c r="J120" s="122" t="n">
        <x:f>IF(OR(F120="",I120=""),"",F120+I120)</x:f>
        <x:v>56</x:v>
      </x:c>
      <x:c r="K120" s="122" t="n">
        <x:f>IF(J120="","",ROUND(J120*'00_Eingabe'!$B$16*(1+'00_Eingabe'!$B$14),0))</x:f>
        <x:v>64</x:v>
      </x:c>
      <x:c r="L120" s="122" t="n">
        <x:f>IF(B120="Betriebsferien",0,ROUND(J120*'00_Eingabe'!$B$40,0)+IF(C120="Wochenende",'00_Eingabe'!$B$42,'00_Eingabe'!$B$41))</x:f>
        <x:v>80</x:v>
      </x:c>
      <x:c r="M120" s="123" t="n">
        <x:f>IF(J120="","",ROUND(J120*'00_Eingabe'!$B$17*(1+'00_Eingabe'!$B$15),0))</x:f>
        <x:v>64</x:v>
      </x:c>
      <x:c r="N120" s="106"/>
      <x:c r="O120" s="106"/>
      <x:c r="P120" s="116"/>
      <x:c r="Q120" s="213" t="n">
        <x:f>IF(C120="Wochenende",1,0)</x:f>
        <x:v>1</x:v>
      </x:c>
      <x:c r="R120" s="213" t="n">
        <x:f>IF(AND(B120&lt;&gt;"Betriebsferien",OR(WEEKDAY(A120,2)=2,WEEKDAY(A120,2)=4)),1,0)</x:f>
        <x:v>0</x:v>
      </x:c>
      <x:c r="S120" s="214" t="n">
        <x:f>R120*MIN(1,'00_Eingabe'!$B$62/'00_Eingabe'!$B$61)</x:f>
        <x:v>0</x:v>
      </x:c>
      <x:c r="T120" s="213" t="n">
        <x:f>IF(B120="Betriebsferien",0,IF(B120="Nebensaison",IF(OR(WEEKDAY(A120,2)=1,WEEKDAY(A120,2)=3,WEEKDAY(A120,2)=5),1,0),IF(C120="Unterwoche",1,0)))</x:f>
        <x:v>0</x:v>
      </x:c>
      <x:c r="U120" s="213" t="n">
        <x:f>IF(B120="Betriebsferien",0,'00_Eingabe'!$G$24)</x:f>
        <x:v>8</x:v>
      </x:c>
    </x:row>
    <x:row r="121">
      <x:c r="A121" s="121" t="n">
        <x:f>IF(ROW()-4&lt;DATE('00_Eingabe'!$B$7+1,1,1)-DATE('00_Eingabe'!$B$7,1,1),DATE('00_Eingabe'!$B$7,1,1)+ROW()-4,"")</x:f>
        <x:v>45775</x:v>
      </x:c>
      <x:c r="B121" s="122" t="str">
        <x:f>IF(A121="","",IF(OR(AND(MONTH(A121)=12,DAY(A121)&gt;=20),AND(MONTH(A121)=1,DAY(A121)&lt;=2)),"Weihnachten",IF(OR(AND(MONTH(A121)=11,DAY(A121)&gt;=24),AND(MONTH(A121)=12,DAY(A121)&lt;=7)),"Betriebsferien",IF(OR(AND(MONTH(A121)=1,DAY(A121)&gt;=3),MONTH(A121)=2,MONTH(A121)=3,MONTH(A121)=4,MONTH(A121)=10,MONTH(A121)=11,AND(MONTH(A121)=12,DAY(A121)&lt;=15)),"Nebensaison","Hauptsaison"))))</x:f>
        <x:v>Nebensaison</x:v>
      </x:c>
      <x:c r="C121" s="122" t="str">
        <x:f>IF(A121="","",IF(WEEKDAY(A121,2)&gt;=6,"Wochenende","Unterwoche"))</x:f>
        <x:v>Unterwoche</x:v>
      </x:c>
      <x:c r="D121" s="123" t="n">
        <x:f>IF(A121="","",IF(N121&lt;&gt;"",N121,IF(B121="Nebensaison",IF(C121="Wochenende",'00_Eingabe'!$C$24,'00_Eingabe'!$B$24),IF(B121="Hauptsaison",IF(C121="Wochenende",'00_Eingabe'!$C$25,'00_Eingabe'!$B$25),IF(B121="Weihnachten",IF(C121="Wochenende",'00_Eingabe'!$C$26,'00_Eingabe'!$B$26),IF(C121="Wochenende",'00_Eingabe'!$C$27,'00_Eingabe'!$B$27))))))</x:f>
        <x:v>0.7</x:v>
      </x:c>
      <x:c r="E121" s="122" t="n">
        <x:f>IF(OR(A121="",D121=""),"",ROUND('00_Eingabe'!$B$8*D121,0))</x:f>
        <x:v>25</x:v>
      </x:c>
      <x:c r="F121" s="122" t="n">
        <x:f>IF(E121="","",ROUND(E121*'00_Eingabe'!$B$18,0))</x:f>
        <x:v>48</x:v>
      </x:c>
      <x:c r="G121" s="123" t="n">
        <x:f>IF(A121="","",IF(O121&lt;&gt;"",O121,IF(B121="Nebensaison",IF(C121="Wochenende",'00_Eingabe'!$E$24,'00_Eingabe'!$D$24),IF(B121="Hauptsaison",IF(C121="Wochenende",'00_Eingabe'!$E$25,'00_Eingabe'!$D$25),IF(B121="Weihnachten",IF(C121="Wochenende",'00_Eingabe'!$E$26,'00_Eingabe'!$D$26),IF(C121="Wochenende",'00_Eingabe'!$E$27,'00_Eingabe'!$D$27))))))</x:f>
        <x:v>0.7</x:v>
      </x:c>
      <x:c r="H121" s="122" t="n">
        <x:f>IF(OR(A121="",G121=""),"",ROUND('00_Eingabe'!$B$9*G121,0))</x:f>
        <x:v>3</x:v>
      </x:c>
      <x:c r="I121" s="122" t="n">
        <x:f>IF(H121="","",ROUND(H121*'00_Eingabe'!$B$19,0))</x:f>
        <x:v>7</x:v>
      </x:c>
      <x:c r="J121" s="122" t="n">
        <x:f>IF(OR(F121="",I121=""),"",F121+I121)</x:f>
        <x:v>55</x:v>
      </x:c>
      <x:c r="K121" s="122" t="n">
        <x:f>IF(J121="","",ROUND(J121*'00_Eingabe'!$B$16*(1+'00_Eingabe'!$B$14),0))</x:f>
        <x:v>63</x:v>
      </x:c>
      <x:c r="L121" s="122" t="n">
        <x:f>IF(B121="Betriebsferien",0,ROUND(J121*'00_Eingabe'!$B$40,0)+IF(C121="Wochenende",'00_Eingabe'!$B$42,'00_Eingabe'!$B$41))</x:f>
        <x:v>55</x:v>
      </x:c>
      <x:c r="M121" s="123" t="n">
        <x:f>IF(J121="","",ROUND(J121*'00_Eingabe'!$B$17*(1+'00_Eingabe'!$B$15),0))</x:f>
        <x:v>63</x:v>
      </x:c>
      <x:c r="N121" s="106"/>
      <x:c r="O121" s="106"/>
      <x:c r="P121" s="116"/>
      <x:c r="Q121" s="213" t="n">
        <x:f>IF(C121="Wochenende",1,0)</x:f>
        <x:v>0</x:v>
      </x:c>
      <x:c r="R121" s="213" t="n">
        <x:f>IF(AND(B121&lt;&gt;"Betriebsferien",OR(WEEKDAY(A121,2)=2,WEEKDAY(A121,2)=4)),1,0)</x:f>
        <x:v>0</x:v>
      </x:c>
      <x:c r="S121" s="214" t="n">
        <x:f>R121*MIN(1,'00_Eingabe'!$B$62/'00_Eingabe'!$B$61)</x:f>
        <x:v>0</x:v>
      </x:c>
      <x:c r="T121" s="213" t="n">
        <x:f>IF(B121="Betriebsferien",0,IF(B121="Nebensaison",IF(OR(WEEKDAY(A121,2)=1,WEEKDAY(A121,2)=3,WEEKDAY(A121,2)=5),1,0),IF(C121="Unterwoche",1,0)))</x:f>
        <x:v>1</x:v>
      </x:c>
      <x:c r="U121" s="213" t="n">
        <x:f>IF(B121="Betriebsferien",0,'00_Eingabe'!$G$24)</x:f>
        <x:v>8</x:v>
      </x:c>
    </x:row>
    <x:row r="122">
      <x:c r="A122" s="121" t="n">
        <x:f>IF(ROW()-4&lt;DATE('00_Eingabe'!$B$7+1,1,1)-DATE('00_Eingabe'!$B$7,1,1),DATE('00_Eingabe'!$B$7,1,1)+ROW()-4,"")</x:f>
        <x:v>45776</x:v>
      </x:c>
      <x:c r="B122" s="122" t="str">
        <x:f>IF(A122="","",IF(OR(AND(MONTH(A122)=12,DAY(A122)&gt;=20),AND(MONTH(A122)=1,DAY(A122)&lt;=2)),"Weihnachten",IF(OR(AND(MONTH(A122)=11,DAY(A122)&gt;=24),AND(MONTH(A122)=12,DAY(A122)&lt;=7)),"Betriebsferien",IF(OR(AND(MONTH(A122)=1,DAY(A122)&gt;=3),MONTH(A122)=2,MONTH(A122)=3,MONTH(A122)=4,MONTH(A122)=10,MONTH(A122)=11,AND(MONTH(A122)=12,DAY(A122)&lt;=15)),"Nebensaison","Hauptsaison"))))</x:f>
        <x:v>Nebensaison</x:v>
      </x:c>
      <x:c r="C122" s="122" t="str">
        <x:f>IF(A122="","",IF(WEEKDAY(A122,2)&gt;=6,"Wochenende","Unterwoche"))</x:f>
        <x:v>Unterwoche</x:v>
      </x:c>
      <x:c r="D122" s="123" t="n">
        <x:f>IF(A122="","",IF(N122&lt;&gt;"",N122,IF(B122="Nebensaison",IF(C122="Wochenende",'00_Eingabe'!$C$24,'00_Eingabe'!$B$24),IF(B122="Hauptsaison",IF(C122="Wochenende",'00_Eingabe'!$C$25,'00_Eingabe'!$B$25),IF(B122="Weihnachten",IF(C122="Wochenende",'00_Eingabe'!$C$26,'00_Eingabe'!$B$26),IF(C122="Wochenende",'00_Eingabe'!$C$27,'00_Eingabe'!$B$27))))))</x:f>
        <x:v>0.7</x:v>
      </x:c>
      <x:c r="E122" s="122" t="n">
        <x:f>IF(OR(A122="",D122=""),"",ROUND('00_Eingabe'!$B$8*D122,0))</x:f>
        <x:v>25</x:v>
      </x:c>
      <x:c r="F122" s="122" t="n">
        <x:f>IF(E122="","",ROUND(E122*'00_Eingabe'!$B$18,0))</x:f>
        <x:v>48</x:v>
      </x:c>
      <x:c r="G122" s="123" t="n">
        <x:f>IF(A122="","",IF(O122&lt;&gt;"",O122,IF(B122="Nebensaison",IF(C122="Wochenende",'00_Eingabe'!$E$24,'00_Eingabe'!$D$24),IF(B122="Hauptsaison",IF(C122="Wochenende",'00_Eingabe'!$E$25,'00_Eingabe'!$D$25),IF(B122="Weihnachten",IF(C122="Wochenende",'00_Eingabe'!$E$26,'00_Eingabe'!$D$26),IF(C122="Wochenende",'00_Eingabe'!$E$27,'00_Eingabe'!$D$27))))))</x:f>
        <x:v>0.7</x:v>
      </x:c>
      <x:c r="H122" s="122" t="n">
        <x:f>IF(OR(A122="",G122=""),"",ROUND('00_Eingabe'!$B$9*G122,0))</x:f>
        <x:v>3</x:v>
      </x:c>
      <x:c r="I122" s="122" t="n">
        <x:f>IF(H122="","",ROUND(H122*'00_Eingabe'!$B$19,0))</x:f>
        <x:v>7</x:v>
      </x:c>
      <x:c r="J122" s="122" t="n">
        <x:f>IF(OR(F122="",I122=""),"",F122+I122)</x:f>
        <x:v>55</x:v>
      </x:c>
      <x:c r="K122" s="122" t="n">
        <x:f>IF(J122="","",ROUND(J122*'00_Eingabe'!$B$16*(1+'00_Eingabe'!$B$14),0))</x:f>
        <x:v>63</x:v>
      </x:c>
      <x:c r="L122" s="122" t="n">
        <x:f>IF(B122="Betriebsferien",0,ROUND(J122*'00_Eingabe'!$B$40,0)+IF(C122="Wochenende",'00_Eingabe'!$B$42,'00_Eingabe'!$B$41))</x:f>
        <x:v>55</x:v>
      </x:c>
      <x:c r="M122" s="123" t="n">
        <x:f>IF(J122="","",ROUND(J122*'00_Eingabe'!$B$17*(1+'00_Eingabe'!$B$15),0))</x:f>
        <x:v>63</x:v>
      </x:c>
      <x:c r="N122" s="106"/>
      <x:c r="O122" s="106"/>
      <x:c r="P122" s="116"/>
      <x:c r="Q122" s="213" t="n">
        <x:f>IF(C122="Wochenende",1,0)</x:f>
        <x:v>0</x:v>
      </x:c>
      <x:c r="R122" s="213" t="n">
        <x:f>IF(AND(B122&lt;&gt;"Betriebsferien",OR(WEEKDAY(A122,2)=2,WEEKDAY(A122,2)=4)),1,0)</x:f>
        <x:v>1</x:v>
      </x:c>
      <x:c r="S122" s="214" t="n">
        <x:f>R122*MIN(1,'00_Eingabe'!$B$62/'00_Eingabe'!$B$61)</x:f>
        <x:v>0.5</x:v>
      </x:c>
      <x:c r="T122" s="213" t="n">
        <x:f>IF(B122="Betriebsferien",0,IF(B122="Nebensaison",IF(OR(WEEKDAY(A122,2)=1,WEEKDAY(A122,2)=3,WEEKDAY(A122,2)=5),1,0),IF(C122="Unterwoche",1,0)))</x:f>
        <x:v>0</x:v>
      </x:c>
      <x:c r="U122" s="213" t="n">
        <x:f>IF(B122="Betriebsferien",0,'00_Eingabe'!$G$24)</x:f>
        <x:v>8</x:v>
      </x:c>
    </x:row>
    <x:row r="123">
      <x:c r="A123" s="121" t="n">
        <x:f>IF(ROW()-4&lt;DATE('00_Eingabe'!$B$7+1,1,1)-DATE('00_Eingabe'!$B$7,1,1),DATE('00_Eingabe'!$B$7,1,1)+ROW()-4,"")</x:f>
        <x:v>45777</x:v>
      </x:c>
      <x:c r="B123" s="122" t="str">
        <x:f>IF(A123="","",IF(OR(AND(MONTH(A123)=12,DAY(A123)&gt;=20),AND(MONTH(A123)=1,DAY(A123)&lt;=2)),"Weihnachten",IF(OR(AND(MONTH(A123)=11,DAY(A123)&gt;=24),AND(MONTH(A123)=12,DAY(A123)&lt;=7)),"Betriebsferien",IF(OR(AND(MONTH(A123)=1,DAY(A123)&gt;=3),MONTH(A123)=2,MONTH(A123)=3,MONTH(A123)=4,MONTH(A123)=10,MONTH(A123)=11,AND(MONTH(A123)=12,DAY(A123)&lt;=15)),"Nebensaison","Hauptsaison"))))</x:f>
        <x:v>Nebensaison</x:v>
      </x:c>
      <x:c r="C123" s="122" t="str">
        <x:f>IF(A123="","",IF(WEEKDAY(A123,2)&gt;=6,"Wochenende","Unterwoche"))</x:f>
        <x:v>Unterwoche</x:v>
      </x:c>
      <x:c r="D123" s="123" t="n">
        <x:f>IF(A123="","",IF(N123&lt;&gt;"",N123,IF(B123="Nebensaison",IF(C123="Wochenende",'00_Eingabe'!$C$24,'00_Eingabe'!$B$24),IF(B123="Hauptsaison",IF(C123="Wochenende",'00_Eingabe'!$C$25,'00_Eingabe'!$B$25),IF(B123="Weihnachten",IF(C123="Wochenende",'00_Eingabe'!$C$26,'00_Eingabe'!$B$26),IF(C123="Wochenende",'00_Eingabe'!$C$27,'00_Eingabe'!$B$27))))))</x:f>
        <x:v>0.7</x:v>
      </x:c>
      <x:c r="E123" s="122" t="n">
        <x:f>IF(OR(A123="",D123=""),"",ROUND('00_Eingabe'!$B$8*D123,0))</x:f>
        <x:v>25</x:v>
      </x:c>
      <x:c r="F123" s="122" t="n">
        <x:f>IF(E123="","",ROUND(E123*'00_Eingabe'!$B$18,0))</x:f>
        <x:v>48</x:v>
      </x:c>
      <x:c r="G123" s="123" t="n">
        <x:f>IF(A123="","",IF(O123&lt;&gt;"",O123,IF(B123="Nebensaison",IF(C123="Wochenende",'00_Eingabe'!$E$24,'00_Eingabe'!$D$24),IF(B123="Hauptsaison",IF(C123="Wochenende",'00_Eingabe'!$E$25,'00_Eingabe'!$D$25),IF(B123="Weihnachten",IF(C123="Wochenende",'00_Eingabe'!$E$26,'00_Eingabe'!$D$26),IF(C123="Wochenende",'00_Eingabe'!$E$27,'00_Eingabe'!$D$27))))))</x:f>
        <x:v>0.7</x:v>
      </x:c>
      <x:c r="H123" s="122" t="n">
        <x:f>IF(OR(A123="",G123=""),"",ROUND('00_Eingabe'!$B$9*G123,0))</x:f>
        <x:v>3</x:v>
      </x:c>
      <x:c r="I123" s="122" t="n">
        <x:f>IF(H123="","",ROUND(H123*'00_Eingabe'!$B$19,0))</x:f>
        <x:v>7</x:v>
      </x:c>
      <x:c r="J123" s="122" t="n">
        <x:f>IF(OR(F123="",I123=""),"",F123+I123)</x:f>
        <x:v>55</x:v>
      </x:c>
      <x:c r="K123" s="122" t="n">
        <x:f>IF(J123="","",ROUND(J123*'00_Eingabe'!$B$16*(1+'00_Eingabe'!$B$14),0))</x:f>
        <x:v>63</x:v>
      </x:c>
      <x:c r="L123" s="122" t="n">
        <x:f>IF(B123="Betriebsferien",0,ROUND(J123*'00_Eingabe'!$B$40,0)+IF(C123="Wochenende",'00_Eingabe'!$B$42,'00_Eingabe'!$B$41))</x:f>
        <x:v>55</x:v>
      </x:c>
      <x:c r="M123" s="123" t="n">
        <x:f>IF(J123="","",ROUND(J123*'00_Eingabe'!$B$17*(1+'00_Eingabe'!$B$15),0))</x:f>
        <x:v>63</x:v>
      </x:c>
      <x:c r="N123" s="106"/>
      <x:c r="O123" s="106"/>
      <x:c r="P123" s="116"/>
      <x:c r="Q123" s="213" t="n">
        <x:f>IF(C123="Wochenende",1,0)</x:f>
        <x:v>0</x:v>
      </x:c>
      <x:c r="R123" s="213" t="n">
        <x:f>IF(AND(B123&lt;&gt;"Betriebsferien",OR(WEEKDAY(A123,2)=2,WEEKDAY(A123,2)=4)),1,0)</x:f>
        <x:v>0</x:v>
      </x:c>
      <x:c r="S123" s="214" t="n">
        <x:f>R123*MIN(1,'00_Eingabe'!$B$62/'00_Eingabe'!$B$61)</x:f>
        <x:v>0</x:v>
      </x:c>
      <x:c r="T123" s="213" t="n">
        <x:f>IF(B123="Betriebsferien",0,IF(B123="Nebensaison",IF(OR(WEEKDAY(A123,2)=1,WEEKDAY(A123,2)=3,WEEKDAY(A123,2)=5),1,0),IF(C123="Unterwoche",1,0)))</x:f>
        <x:v>1</x:v>
      </x:c>
      <x:c r="U123" s="213" t="n">
        <x:f>IF(B123="Betriebsferien",0,'00_Eingabe'!$G$24)</x:f>
        <x:v>8</x:v>
      </x:c>
    </x:row>
    <x:row r="124">
      <x:c r="A124" s="121" t="n">
        <x:f>IF(ROW()-4&lt;DATE('00_Eingabe'!$B$7+1,1,1)-DATE('00_Eingabe'!$B$7,1,1),DATE('00_Eingabe'!$B$7,1,1)+ROW()-4,"")</x:f>
        <x:v>45778</x:v>
      </x:c>
      <x:c r="B124" s="122" t="str">
        <x:f>IF(A124="","",IF(OR(AND(MONTH(A124)=12,DAY(A124)&gt;=20),AND(MONTH(A124)=1,DAY(A124)&lt;=2)),"Weihnachten",IF(OR(AND(MONTH(A124)=11,DAY(A124)&gt;=24),AND(MONTH(A124)=12,DAY(A124)&lt;=7)),"Betriebsferien",IF(OR(AND(MONTH(A124)=1,DAY(A124)&gt;=3),MONTH(A124)=2,MONTH(A124)=3,MONTH(A124)=4,MONTH(A124)=10,MONTH(A124)=11,AND(MONTH(A124)=12,DAY(A124)&lt;=15)),"Nebensaison","Hauptsaison"))))</x:f>
        <x:v>Hauptsaison</x:v>
      </x:c>
      <x:c r="C124" s="122" t="str">
        <x:f>IF(A124="","",IF(WEEKDAY(A124,2)&gt;=6,"Wochenende","Unterwoche"))</x:f>
        <x:v>Unterwoche</x:v>
      </x:c>
      <x:c r="D124" s="123" t="n">
        <x:f>IF(A124="","",IF(N124&lt;&gt;"",N124,IF(B124="Nebensaison",IF(C124="Wochenende",'00_Eingabe'!$C$24,'00_Eingabe'!$B$24),IF(B124="Hauptsaison",IF(C124="Wochenende",'00_Eingabe'!$C$25,'00_Eingabe'!$B$25),IF(B124="Weihnachten",IF(C124="Wochenende",'00_Eingabe'!$C$26,'00_Eingabe'!$B$26),IF(C124="Wochenende",'00_Eingabe'!$C$27,'00_Eingabe'!$B$27))))))</x:f>
        <x:v>0.85</x:v>
      </x:c>
      <x:c r="E124" s="122" t="n">
        <x:f>IF(OR(A124="",D124=""),"",ROUND('00_Eingabe'!$B$8*D124,0))</x:f>
        <x:v>30</x:v>
      </x:c>
      <x:c r="F124" s="122" t="n">
        <x:f>IF(E124="","",ROUND(E124*'00_Eingabe'!$B$18,0))</x:f>
        <x:v>57</x:v>
      </x:c>
      <x:c r="G124" s="123" t="n">
        <x:f>IF(A124="","",IF(O124&lt;&gt;"",O124,IF(B124="Nebensaison",IF(C124="Wochenende",'00_Eingabe'!$E$24,'00_Eingabe'!$D$24),IF(B124="Hauptsaison",IF(C124="Wochenende",'00_Eingabe'!$E$25,'00_Eingabe'!$D$25),IF(B124="Weihnachten",IF(C124="Wochenende",'00_Eingabe'!$E$26,'00_Eingabe'!$D$26),IF(C124="Wochenende",'00_Eingabe'!$E$27,'00_Eingabe'!$D$27))))))</x:f>
        <x:v>0.85</x:v>
      </x:c>
      <x:c r="H124" s="122" t="n">
        <x:f>IF(OR(A124="",G124=""),"",ROUND('00_Eingabe'!$B$9*G124,0))</x:f>
        <x:v>3</x:v>
      </x:c>
      <x:c r="I124" s="122" t="n">
        <x:f>IF(H124="","",ROUND(H124*'00_Eingabe'!$B$19,0))</x:f>
        <x:v>7</x:v>
      </x:c>
      <x:c r="J124" s="122" t="n">
        <x:f>IF(OR(F124="",I124=""),"",F124+I124)</x:f>
        <x:v>64</x:v>
      </x:c>
      <x:c r="K124" s="122" t="n">
        <x:f>IF(J124="","",ROUND(J124*'00_Eingabe'!$B$16*(1+'00_Eingabe'!$B$14),0))</x:f>
        <x:v>74</x:v>
      </x:c>
      <x:c r="L124" s="122" t="n">
        <x:f>IF(B124="Betriebsferien",0,ROUND(J124*'00_Eingabe'!$B$40,0)+IF(C124="Wochenende",'00_Eingabe'!$B$42,'00_Eingabe'!$B$41))</x:f>
        <x:v>63</x:v>
      </x:c>
      <x:c r="M124" s="123" t="n">
        <x:f>IF(J124="","",ROUND(J124*'00_Eingabe'!$B$17*(1+'00_Eingabe'!$B$15),0))</x:f>
        <x:v>74</x:v>
      </x:c>
      <x:c r="N124" s="106"/>
      <x:c r="O124" s="106"/>
      <x:c r="P124" s="116"/>
      <x:c r="Q124" s="213" t="n">
        <x:f>IF(C124="Wochenende",1,0)</x:f>
        <x:v>0</x:v>
      </x:c>
      <x:c r="R124" s="213" t="n">
        <x:f>IF(AND(B124&lt;&gt;"Betriebsferien",OR(WEEKDAY(A124,2)=2,WEEKDAY(A124,2)=4)),1,0)</x:f>
        <x:v>1</x:v>
      </x:c>
      <x:c r="S124" s="214" t="n">
        <x:f>R124*MIN(1,'00_Eingabe'!$B$62/'00_Eingabe'!$B$61)</x:f>
        <x:v>0.5</x:v>
      </x:c>
      <x:c r="T124" s="213" t="n">
        <x:f>IF(B124="Betriebsferien",0,IF(B124="Nebensaison",IF(OR(WEEKDAY(A124,2)=1,WEEKDAY(A124,2)=3,WEEKDAY(A124,2)=5),1,0),IF(C124="Unterwoche",1,0)))</x:f>
        <x:v>1</x:v>
      </x:c>
      <x:c r="U124" s="213" t="n">
        <x:f>IF(B124="Betriebsferien",0,'00_Eingabe'!$G$24)</x:f>
        <x:v>8</x:v>
      </x:c>
    </x:row>
    <x:row r="125">
      <x:c r="A125" s="121" t="n">
        <x:f>IF(ROW()-4&lt;DATE('00_Eingabe'!$B$7+1,1,1)-DATE('00_Eingabe'!$B$7,1,1),DATE('00_Eingabe'!$B$7,1,1)+ROW()-4,"")</x:f>
        <x:v>45779</x:v>
      </x:c>
      <x:c r="B125" s="122" t="str">
        <x:f>IF(A125="","",IF(OR(AND(MONTH(A125)=12,DAY(A125)&gt;=20),AND(MONTH(A125)=1,DAY(A125)&lt;=2)),"Weihnachten",IF(OR(AND(MONTH(A125)=11,DAY(A125)&gt;=24),AND(MONTH(A125)=12,DAY(A125)&lt;=7)),"Betriebsferien",IF(OR(AND(MONTH(A125)=1,DAY(A125)&gt;=3),MONTH(A125)=2,MONTH(A125)=3,MONTH(A125)=4,MONTH(A125)=10,MONTH(A125)=11,AND(MONTH(A125)=12,DAY(A125)&lt;=15)),"Nebensaison","Hauptsaison"))))</x:f>
        <x:v>Hauptsaison</x:v>
      </x:c>
      <x:c r="C125" s="122" t="str">
        <x:f>IF(A125="","",IF(WEEKDAY(A125,2)&gt;=6,"Wochenende","Unterwoche"))</x:f>
        <x:v>Unterwoche</x:v>
      </x:c>
      <x:c r="D125" s="123" t="n">
        <x:f>IF(A125="","",IF(N125&lt;&gt;"",N125,IF(B125="Nebensaison",IF(C125="Wochenende",'00_Eingabe'!$C$24,'00_Eingabe'!$B$24),IF(B125="Hauptsaison",IF(C125="Wochenende",'00_Eingabe'!$C$25,'00_Eingabe'!$B$25),IF(B125="Weihnachten",IF(C125="Wochenende",'00_Eingabe'!$C$26,'00_Eingabe'!$B$26),IF(C125="Wochenende",'00_Eingabe'!$C$27,'00_Eingabe'!$B$27))))))</x:f>
        <x:v>0.85</x:v>
      </x:c>
      <x:c r="E125" s="122" t="n">
        <x:f>IF(OR(A125="",D125=""),"",ROUND('00_Eingabe'!$B$8*D125,0))</x:f>
        <x:v>30</x:v>
      </x:c>
      <x:c r="F125" s="122" t="n">
        <x:f>IF(E125="","",ROUND(E125*'00_Eingabe'!$B$18,0))</x:f>
        <x:v>57</x:v>
      </x:c>
      <x:c r="G125" s="123" t="n">
        <x:f>IF(A125="","",IF(O125&lt;&gt;"",O125,IF(B125="Nebensaison",IF(C125="Wochenende",'00_Eingabe'!$E$24,'00_Eingabe'!$D$24),IF(B125="Hauptsaison",IF(C125="Wochenende",'00_Eingabe'!$E$25,'00_Eingabe'!$D$25),IF(B125="Weihnachten",IF(C125="Wochenende",'00_Eingabe'!$E$26,'00_Eingabe'!$D$26),IF(C125="Wochenende",'00_Eingabe'!$E$27,'00_Eingabe'!$D$27))))))</x:f>
        <x:v>0.85</x:v>
      </x:c>
      <x:c r="H125" s="122" t="n">
        <x:f>IF(OR(A125="",G125=""),"",ROUND('00_Eingabe'!$B$9*G125,0))</x:f>
        <x:v>3</x:v>
      </x:c>
      <x:c r="I125" s="122" t="n">
        <x:f>IF(H125="","",ROUND(H125*'00_Eingabe'!$B$19,0))</x:f>
        <x:v>7</x:v>
      </x:c>
      <x:c r="J125" s="122" t="n">
        <x:f>IF(OR(F125="",I125=""),"",F125+I125)</x:f>
        <x:v>64</x:v>
      </x:c>
      <x:c r="K125" s="122" t="n">
        <x:f>IF(J125="","",ROUND(J125*'00_Eingabe'!$B$16*(1+'00_Eingabe'!$B$14),0))</x:f>
        <x:v>74</x:v>
      </x:c>
      <x:c r="L125" s="122" t="n">
        <x:f>IF(B125="Betriebsferien",0,ROUND(J125*'00_Eingabe'!$B$40,0)+IF(C125="Wochenende",'00_Eingabe'!$B$42,'00_Eingabe'!$B$41))</x:f>
        <x:v>63</x:v>
      </x:c>
      <x:c r="M125" s="123" t="n">
        <x:f>IF(J125="","",ROUND(J125*'00_Eingabe'!$B$17*(1+'00_Eingabe'!$B$15),0))</x:f>
        <x:v>74</x:v>
      </x:c>
      <x:c r="N125" s="106"/>
      <x:c r="O125" s="106"/>
      <x:c r="P125" s="116"/>
      <x:c r="Q125" s="213" t="n">
        <x:f>IF(C125="Wochenende",1,0)</x:f>
        <x:v>0</x:v>
      </x:c>
      <x:c r="R125" s="213" t="n">
        <x:f>IF(AND(B125&lt;&gt;"Betriebsferien",OR(WEEKDAY(A125,2)=2,WEEKDAY(A125,2)=4)),1,0)</x:f>
        <x:v>0</x:v>
      </x:c>
      <x:c r="S125" s="214" t="n">
        <x:f>R125*MIN(1,'00_Eingabe'!$B$62/'00_Eingabe'!$B$61)</x:f>
        <x:v>0</x:v>
      </x:c>
      <x:c r="T125" s="213" t="n">
        <x:f>IF(B125="Betriebsferien",0,IF(B125="Nebensaison",IF(OR(WEEKDAY(A125,2)=1,WEEKDAY(A125,2)=3,WEEKDAY(A125,2)=5),1,0),IF(C125="Unterwoche",1,0)))</x:f>
        <x:v>1</x:v>
      </x:c>
      <x:c r="U125" s="213" t="n">
        <x:f>IF(B125="Betriebsferien",0,'00_Eingabe'!$G$24)</x:f>
        <x:v>8</x:v>
      </x:c>
    </x:row>
    <x:row r="126">
      <x:c r="A126" s="121" t="n">
        <x:f>IF(ROW()-4&lt;DATE('00_Eingabe'!$B$7+1,1,1)-DATE('00_Eingabe'!$B$7,1,1),DATE('00_Eingabe'!$B$7,1,1)+ROW()-4,"")</x:f>
        <x:v>45780</x:v>
      </x:c>
      <x:c r="B126" s="122" t="str">
        <x:f>IF(A126="","",IF(OR(AND(MONTH(A126)=12,DAY(A126)&gt;=20),AND(MONTH(A126)=1,DAY(A126)&lt;=2)),"Weihnachten",IF(OR(AND(MONTH(A126)=11,DAY(A126)&gt;=24),AND(MONTH(A126)=12,DAY(A126)&lt;=7)),"Betriebsferien",IF(OR(AND(MONTH(A126)=1,DAY(A126)&gt;=3),MONTH(A126)=2,MONTH(A126)=3,MONTH(A126)=4,MONTH(A126)=10,MONTH(A126)=11,AND(MONTH(A126)=12,DAY(A126)&lt;=15)),"Nebensaison","Hauptsaison"))))</x:f>
        <x:v>Hauptsaison</x:v>
      </x:c>
      <x:c r="C126" s="122" t="str">
        <x:f>IF(A126="","",IF(WEEKDAY(A126,2)&gt;=6,"Wochenende","Unterwoche"))</x:f>
        <x:v>Wochenende</x:v>
      </x:c>
      <x:c r="D126" s="123" t="n">
        <x:f>IF(A126="","",IF(N126&lt;&gt;"",N126,IF(B126="Nebensaison",IF(C126="Wochenende",'00_Eingabe'!$C$24,'00_Eingabe'!$B$24),IF(B126="Hauptsaison",IF(C126="Wochenende",'00_Eingabe'!$C$25,'00_Eingabe'!$B$25),IF(B126="Weihnachten",IF(C126="Wochenende",'00_Eingabe'!$C$26,'00_Eingabe'!$B$26),IF(C126="Wochenende",'00_Eingabe'!$C$27,'00_Eingabe'!$B$27))))))</x:f>
        <x:v>0.9</x:v>
      </x:c>
      <x:c r="E126" s="122" t="n">
        <x:f>IF(OR(A126="",D126=""),"",ROUND('00_Eingabe'!$B$8*D126,0))</x:f>
        <x:v>32</x:v>
      </x:c>
      <x:c r="F126" s="122" t="n">
        <x:f>IF(E126="","",ROUND(E126*'00_Eingabe'!$B$18,0))</x:f>
        <x:v>61</x:v>
      </x:c>
      <x:c r="G126" s="123" t="n">
        <x:f>IF(A126="","",IF(O126&lt;&gt;"",O126,IF(B126="Nebensaison",IF(C126="Wochenende",'00_Eingabe'!$E$24,'00_Eingabe'!$D$24),IF(B126="Hauptsaison",IF(C126="Wochenende",'00_Eingabe'!$E$25,'00_Eingabe'!$D$25),IF(B126="Weihnachten",IF(C126="Wochenende",'00_Eingabe'!$E$26,'00_Eingabe'!$D$26),IF(C126="Wochenende",'00_Eingabe'!$E$27,'00_Eingabe'!$D$27))))))</x:f>
        <x:v>0.9</x:v>
      </x:c>
      <x:c r="H126" s="122" t="n">
        <x:f>IF(OR(A126="",G126=""),"",ROUND('00_Eingabe'!$B$9*G126,0))</x:f>
        <x:v>4</x:v>
      </x:c>
      <x:c r="I126" s="122" t="n">
        <x:f>IF(H126="","",ROUND(H126*'00_Eingabe'!$B$19,0))</x:f>
        <x:v>9</x:v>
      </x:c>
      <x:c r="J126" s="122" t="n">
        <x:f>IF(OR(F126="",I126=""),"",F126+I126)</x:f>
        <x:v>70</x:v>
      </x:c>
      <x:c r="K126" s="122" t="n">
        <x:f>IF(J126="","",ROUND(J126*'00_Eingabe'!$B$16*(1+'00_Eingabe'!$B$14),0))</x:f>
        <x:v>81</x:v>
      </x:c>
      <x:c r="L126" s="122" t="n">
        <x:f>IF(B126="Betriebsferien",0,ROUND(J126*'00_Eingabe'!$B$40,0)+IF(C126="Wochenende",'00_Eingabe'!$B$42,'00_Eingabe'!$B$41))</x:f>
        <x:v>93</x:v>
      </x:c>
      <x:c r="M126" s="123" t="n">
        <x:f>IF(J126="","",ROUND(J126*'00_Eingabe'!$B$17*(1+'00_Eingabe'!$B$15),0))</x:f>
        <x:v>81</x:v>
      </x:c>
      <x:c r="N126" s="106"/>
      <x:c r="O126" s="106"/>
      <x:c r="P126" s="116"/>
      <x:c r="Q126" s="213" t="n">
        <x:f>IF(C126="Wochenende",1,0)</x:f>
        <x:v>1</x:v>
      </x:c>
      <x:c r="R126" s="213" t="n">
        <x:f>IF(AND(B126&lt;&gt;"Betriebsferien",OR(WEEKDAY(A126,2)=2,WEEKDAY(A126,2)=4)),1,0)</x:f>
        <x:v>0</x:v>
      </x:c>
      <x:c r="S126" s="214" t="n">
        <x:f>R126*MIN(1,'00_Eingabe'!$B$62/'00_Eingabe'!$B$61)</x:f>
        <x:v>0</x:v>
      </x:c>
      <x:c r="T126" s="213" t="n">
        <x:f>IF(B126="Betriebsferien",0,IF(B126="Nebensaison",IF(OR(WEEKDAY(A126,2)=1,WEEKDAY(A126,2)=3,WEEKDAY(A126,2)=5),1,0),IF(C126="Unterwoche",1,0)))</x:f>
        <x:v>0</x:v>
      </x:c>
      <x:c r="U126" s="213" t="n">
        <x:f>IF(B126="Betriebsferien",0,'00_Eingabe'!$G$24)</x:f>
        <x:v>8</x:v>
      </x:c>
    </x:row>
    <x:row r="127">
      <x:c r="A127" s="121" t="n">
        <x:f>IF(ROW()-4&lt;DATE('00_Eingabe'!$B$7+1,1,1)-DATE('00_Eingabe'!$B$7,1,1),DATE('00_Eingabe'!$B$7,1,1)+ROW()-4,"")</x:f>
        <x:v>45781</x:v>
      </x:c>
      <x:c r="B127" s="122" t="str">
        <x:f>IF(A127="","",IF(OR(AND(MONTH(A127)=12,DAY(A127)&gt;=20),AND(MONTH(A127)=1,DAY(A127)&lt;=2)),"Weihnachten",IF(OR(AND(MONTH(A127)=11,DAY(A127)&gt;=24),AND(MONTH(A127)=12,DAY(A127)&lt;=7)),"Betriebsferien",IF(OR(AND(MONTH(A127)=1,DAY(A127)&gt;=3),MONTH(A127)=2,MONTH(A127)=3,MONTH(A127)=4,MONTH(A127)=10,MONTH(A127)=11,AND(MONTH(A127)=12,DAY(A127)&lt;=15)),"Nebensaison","Hauptsaison"))))</x:f>
        <x:v>Hauptsaison</x:v>
      </x:c>
      <x:c r="C127" s="122" t="str">
        <x:f>IF(A127="","",IF(WEEKDAY(A127,2)&gt;=6,"Wochenende","Unterwoche"))</x:f>
        <x:v>Wochenende</x:v>
      </x:c>
      <x:c r="D127" s="123" t="n">
        <x:f>IF(A127="","",IF(N127&lt;&gt;"",N127,IF(B127="Nebensaison",IF(C127="Wochenende",'00_Eingabe'!$C$24,'00_Eingabe'!$B$24),IF(B127="Hauptsaison",IF(C127="Wochenende",'00_Eingabe'!$C$25,'00_Eingabe'!$B$25),IF(B127="Weihnachten",IF(C127="Wochenende",'00_Eingabe'!$C$26,'00_Eingabe'!$B$26),IF(C127="Wochenende",'00_Eingabe'!$C$27,'00_Eingabe'!$B$27))))))</x:f>
        <x:v>0.9</x:v>
      </x:c>
      <x:c r="E127" s="122" t="n">
        <x:f>IF(OR(A127="",D127=""),"",ROUND('00_Eingabe'!$B$8*D127,0))</x:f>
        <x:v>32</x:v>
      </x:c>
      <x:c r="F127" s="122" t="n">
        <x:f>IF(E127="","",ROUND(E127*'00_Eingabe'!$B$18,0))</x:f>
        <x:v>61</x:v>
      </x:c>
      <x:c r="G127" s="123" t="n">
        <x:f>IF(A127="","",IF(O127&lt;&gt;"",O127,IF(B127="Nebensaison",IF(C127="Wochenende",'00_Eingabe'!$E$24,'00_Eingabe'!$D$24),IF(B127="Hauptsaison",IF(C127="Wochenende",'00_Eingabe'!$E$25,'00_Eingabe'!$D$25),IF(B127="Weihnachten",IF(C127="Wochenende",'00_Eingabe'!$E$26,'00_Eingabe'!$D$26),IF(C127="Wochenende",'00_Eingabe'!$E$27,'00_Eingabe'!$D$27))))))</x:f>
        <x:v>0.9</x:v>
      </x:c>
      <x:c r="H127" s="122" t="n">
        <x:f>IF(OR(A127="",G127=""),"",ROUND('00_Eingabe'!$B$9*G127,0))</x:f>
        <x:v>4</x:v>
      </x:c>
      <x:c r="I127" s="122" t="n">
        <x:f>IF(H127="","",ROUND(H127*'00_Eingabe'!$B$19,0))</x:f>
        <x:v>9</x:v>
      </x:c>
      <x:c r="J127" s="122" t="n">
        <x:f>IF(OR(F127="",I127=""),"",F127+I127)</x:f>
        <x:v>70</x:v>
      </x:c>
      <x:c r="K127" s="122" t="n">
        <x:f>IF(J127="","",ROUND(J127*'00_Eingabe'!$B$16*(1+'00_Eingabe'!$B$14),0))</x:f>
        <x:v>81</x:v>
      </x:c>
      <x:c r="L127" s="122" t="n">
        <x:f>IF(B127="Betriebsferien",0,ROUND(J127*'00_Eingabe'!$B$40,0)+IF(C127="Wochenende",'00_Eingabe'!$B$42,'00_Eingabe'!$B$41))</x:f>
        <x:v>93</x:v>
      </x:c>
      <x:c r="M127" s="123" t="n">
        <x:f>IF(J127="","",ROUND(J127*'00_Eingabe'!$B$17*(1+'00_Eingabe'!$B$15),0))</x:f>
        <x:v>81</x:v>
      </x:c>
      <x:c r="N127" s="106"/>
      <x:c r="O127" s="106"/>
      <x:c r="P127" s="116"/>
      <x:c r="Q127" s="213" t="n">
        <x:f>IF(C127="Wochenende",1,0)</x:f>
        <x:v>1</x:v>
      </x:c>
      <x:c r="R127" s="213" t="n">
        <x:f>IF(AND(B127&lt;&gt;"Betriebsferien",OR(WEEKDAY(A127,2)=2,WEEKDAY(A127,2)=4)),1,0)</x:f>
        <x:v>0</x:v>
      </x:c>
      <x:c r="S127" s="214" t="n">
        <x:f>R127*MIN(1,'00_Eingabe'!$B$62/'00_Eingabe'!$B$61)</x:f>
        <x:v>0</x:v>
      </x:c>
      <x:c r="T127" s="213" t="n">
        <x:f>IF(B127="Betriebsferien",0,IF(B127="Nebensaison",IF(OR(WEEKDAY(A127,2)=1,WEEKDAY(A127,2)=3,WEEKDAY(A127,2)=5),1,0),IF(C127="Unterwoche",1,0)))</x:f>
        <x:v>0</x:v>
      </x:c>
      <x:c r="U127" s="213" t="n">
        <x:f>IF(B127="Betriebsferien",0,'00_Eingabe'!$G$24)</x:f>
        <x:v>8</x:v>
      </x:c>
    </x:row>
    <x:row r="128">
      <x:c r="A128" s="121" t="n">
        <x:f>IF(ROW()-4&lt;DATE('00_Eingabe'!$B$7+1,1,1)-DATE('00_Eingabe'!$B$7,1,1),DATE('00_Eingabe'!$B$7,1,1)+ROW()-4,"")</x:f>
        <x:v>45782</x:v>
      </x:c>
      <x:c r="B128" s="122" t="str">
        <x:f>IF(A128="","",IF(OR(AND(MONTH(A128)=12,DAY(A128)&gt;=20),AND(MONTH(A128)=1,DAY(A128)&lt;=2)),"Weihnachten",IF(OR(AND(MONTH(A128)=11,DAY(A128)&gt;=24),AND(MONTH(A128)=12,DAY(A128)&lt;=7)),"Betriebsferien",IF(OR(AND(MONTH(A128)=1,DAY(A128)&gt;=3),MONTH(A128)=2,MONTH(A128)=3,MONTH(A128)=4,MONTH(A128)=10,MONTH(A128)=11,AND(MONTH(A128)=12,DAY(A128)&lt;=15)),"Nebensaison","Hauptsaison"))))</x:f>
        <x:v>Hauptsaison</x:v>
      </x:c>
      <x:c r="C128" s="122" t="str">
        <x:f>IF(A128="","",IF(WEEKDAY(A128,2)&gt;=6,"Wochenende","Unterwoche"))</x:f>
        <x:v>Unterwoche</x:v>
      </x:c>
      <x:c r="D128" s="123" t="n">
        <x:f>IF(A128="","",IF(N128&lt;&gt;"",N128,IF(B128="Nebensaison",IF(C128="Wochenende",'00_Eingabe'!$C$24,'00_Eingabe'!$B$24),IF(B128="Hauptsaison",IF(C128="Wochenende",'00_Eingabe'!$C$25,'00_Eingabe'!$B$25),IF(B128="Weihnachten",IF(C128="Wochenende",'00_Eingabe'!$C$26,'00_Eingabe'!$B$26),IF(C128="Wochenende",'00_Eingabe'!$C$27,'00_Eingabe'!$B$27))))))</x:f>
        <x:v>0.85</x:v>
      </x:c>
      <x:c r="E128" s="122" t="n">
        <x:f>IF(OR(A128="",D128=""),"",ROUND('00_Eingabe'!$B$8*D128,0))</x:f>
        <x:v>30</x:v>
      </x:c>
      <x:c r="F128" s="122" t="n">
        <x:f>IF(E128="","",ROUND(E128*'00_Eingabe'!$B$18,0))</x:f>
        <x:v>57</x:v>
      </x:c>
      <x:c r="G128" s="123" t="n">
        <x:f>IF(A128="","",IF(O128&lt;&gt;"",O128,IF(B128="Nebensaison",IF(C128="Wochenende",'00_Eingabe'!$E$24,'00_Eingabe'!$D$24),IF(B128="Hauptsaison",IF(C128="Wochenende",'00_Eingabe'!$E$25,'00_Eingabe'!$D$25),IF(B128="Weihnachten",IF(C128="Wochenende",'00_Eingabe'!$E$26,'00_Eingabe'!$D$26),IF(C128="Wochenende",'00_Eingabe'!$E$27,'00_Eingabe'!$D$27))))))</x:f>
        <x:v>0.85</x:v>
      </x:c>
      <x:c r="H128" s="122" t="n">
        <x:f>IF(OR(A128="",G128=""),"",ROUND('00_Eingabe'!$B$9*G128,0))</x:f>
        <x:v>3</x:v>
      </x:c>
      <x:c r="I128" s="122" t="n">
        <x:f>IF(H128="","",ROUND(H128*'00_Eingabe'!$B$19,0))</x:f>
        <x:v>7</x:v>
      </x:c>
      <x:c r="J128" s="122" t="n">
        <x:f>IF(OR(F128="",I128=""),"",F128+I128)</x:f>
        <x:v>64</x:v>
      </x:c>
      <x:c r="K128" s="122" t="n">
        <x:f>IF(J128="","",ROUND(J128*'00_Eingabe'!$B$16*(1+'00_Eingabe'!$B$14),0))</x:f>
        <x:v>74</x:v>
      </x:c>
      <x:c r="L128" s="122" t="n">
        <x:f>IF(B128="Betriebsferien",0,ROUND(J128*'00_Eingabe'!$B$40,0)+IF(C128="Wochenende",'00_Eingabe'!$B$42,'00_Eingabe'!$B$41))</x:f>
        <x:v>63</x:v>
      </x:c>
      <x:c r="M128" s="123" t="n">
        <x:f>IF(J128="","",ROUND(J128*'00_Eingabe'!$B$17*(1+'00_Eingabe'!$B$15),0))</x:f>
        <x:v>74</x:v>
      </x:c>
      <x:c r="N128" s="106"/>
      <x:c r="O128" s="106"/>
      <x:c r="P128" s="116"/>
      <x:c r="Q128" s="213" t="n">
        <x:f>IF(C128="Wochenende",1,0)</x:f>
        <x:v>0</x:v>
      </x:c>
      <x:c r="R128" s="213" t="n">
        <x:f>IF(AND(B128&lt;&gt;"Betriebsferien",OR(WEEKDAY(A128,2)=2,WEEKDAY(A128,2)=4)),1,0)</x:f>
        <x:v>0</x:v>
      </x:c>
      <x:c r="S128" s="214" t="n">
        <x:f>R128*MIN(1,'00_Eingabe'!$B$62/'00_Eingabe'!$B$61)</x:f>
        <x:v>0</x:v>
      </x:c>
      <x:c r="T128" s="213" t="n">
        <x:f>IF(B128="Betriebsferien",0,IF(B128="Nebensaison",IF(OR(WEEKDAY(A128,2)=1,WEEKDAY(A128,2)=3,WEEKDAY(A128,2)=5),1,0),IF(C128="Unterwoche",1,0)))</x:f>
        <x:v>1</x:v>
      </x:c>
      <x:c r="U128" s="213" t="n">
        <x:f>IF(B128="Betriebsferien",0,'00_Eingabe'!$G$24)</x:f>
        <x:v>8</x:v>
      </x:c>
    </x:row>
    <x:row r="129">
      <x:c r="A129" s="121" t="n">
        <x:f>IF(ROW()-4&lt;DATE('00_Eingabe'!$B$7+1,1,1)-DATE('00_Eingabe'!$B$7,1,1),DATE('00_Eingabe'!$B$7,1,1)+ROW()-4,"")</x:f>
        <x:v>45783</x:v>
      </x:c>
      <x:c r="B129" s="122" t="str">
        <x:f>IF(A129="","",IF(OR(AND(MONTH(A129)=12,DAY(A129)&gt;=20),AND(MONTH(A129)=1,DAY(A129)&lt;=2)),"Weihnachten",IF(OR(AND(MONTH(A129)=11,DAY(A129)&gt;=24),AND(MONTH(A129)=12,DAY(A129)&lt;=7)),"Betriebsferien",IF(OR(AND(MONTH(A129)=1,DAY(A129)&gt;=3),MONTH(A129)=2,MONTH(A129)=3,MONTH(A129)=4,MONTH(A129)=10,MONTH(A129)=11,AND(MONTH(A129)=12,DAY(A129)&lt;=15)),"Nebensaison","Hauptsaison"))))</x:f>
        <x:v>Hauptsaison</x:v>
      </x:c>
      <x:c r="C129" s="122" t="str">
        <x:f>IF(A129="","",IF(WEEKDAY(A129,2)&gt;=6,"Wochenende","Unterwoche"))</x:f>
        <x:v>Unterwoche</x:v>
      </x:c>
      <x:c r="D129" s="123" t="n">
        <x:f>IF(A129="","",IF(N129&lt;&gt;"",N129,IF(B129="Nebensaison",IF(C129="Wochenende",'00_Eingabe'!$C$24,'00_Eingabe'!$B$24),IF(B129="Hauptsaison",IF(C129="Wochenende",'00_Eingabe'!$C$25,'00_Eingabe'!$B$25),IF(B129="Weihnachten",IF(C129="Wochenende",'00_Eingabe'!$C$26,'00_Eingabe'!$B$26),IF(C129="Wochenende",'00_Eingabe'!$C$27,'00_Eingabe'!$B$27))))))</x:f>
        <x:v>0.85</x:v>
      </x:c>
      <x:c r="E129" s="122" t="n">
        <x:f>IF(OR(A129="",D129=""),"",ROUND('00_Eingabe'!$B$8*D129,0))</x:f>
        <x:v>30</x:v>
      </x:c>
      <x:c r="F129" s="122" t="n">
        <x:f>IF(E129="","",ROUND(E129*'00_Eingabe'!$B$18,0))</x:f>
        <x:v>57</x:v>
      </x:c>
      <x:c r="G129" s="123" t="n">
        <x:f>IF(A129="","",IF(O129&lt;&gt;"",O129,IF(B129="Nebensaison",IF(C129="Wochenende",'00_Eingabe'!$E$24,'00_Eingabe'!$D$24),IF(B129="Hauptsaison",IF(C129="Wochenende",'00_Eingabe'!$E$25,'00_Eingabe'!$D$25),IF(B129="Weihnachten",IF(C129="Wochenende",'00_Eingabe'!$E$26,'00_Eingabe'!$D$26),IF(C129="Wochenende",'00_Eingabe'!$E$27,'00_Eingabe'!$D$27))))))</x:f>
        <x:v>0.85</x:v>
      </x:c>
      <x:c r="H129" s="122" t="n">
        <x:f>IF(OR(A129="",G129=""),"",ROUND('00_Eingabe'!$B$9*G129,0))</x:f>
        <x:v>3</x:v>
      </x:c>
      <x:c r="I129" s="122" t="n">
        <x:f>IF(H129="","",ROUND(H129*'00_Eingabe'!$B$19,0))</x:f>
        <x:v>7</x:v>
      </x:c>
      <x:c r="J129" s="122" t="n">
        <x:f>IF(OR(F129="",I129=""),"",F129+I129)</x:f>
        <x:v>64</x:v>
      </x:c>
      <x:c r="K129" s="122" t="n">
        <x:f>IF(J129="","",ROUND(J129*'00_Eingabe'!$B$16*(1+'00_Eingabe'!$B$14),0))</x:f>
        <x:v>74</x:v>
      </x:c>
      <x:c r="L129" s="122" t="n">
        <x:f>IF(B129="Betriebsferien",0,ROUND(J129*'00_Eingabe'!$B$40,0)+IF(C129="Wochenende",'00_Eingabe'!$B$42,'00_Eingabe'!$B$41))</x:f>
        <x:v>63</x:v>
      </x:c>
      <x:c r="M129" s="123" t="n">
        <x:f>IF(J129="","",ROUND(J129*'00_Eingabe'!$B$17*(1+'00_Eingabe'!$B$15),0))</x:f>
        <x:v>74</x:v>
      </x:c>
      <x:c r="N129" s="106"/>
      <x:c r="O129" s="106"/>
      <x:c r="P129" s="116"/>
      <x:c r="Q129" s="213" t="n">
        <x:f>IF(C129="Wochenende",1,0)</x:f>
        <x:v>0</x:v>
      </x:c>
      <x:c r="R129" s="213" t="n">
        <x:f>IF(AND(B129&lt;&gt;"Betriebsferien",OR(WEEKDAY(A129,2)=2,WEEKDAY(A129,2)=4)),1,0)</x:f>
        <x:v>1</x:v>
      </x:c>
      <x:c r="S129" s="214" t="n">
        <x:f>R129*MIN(1,'00_Eingabe'!$B$62/'00_Eingabe'!$B$61)</x:f>
        <x:v>0.5</x:v>
      </x:c>
      <x:c r="T129" s="213" t="n">
        <x:f>IF(B129="Betriebsferien",0,IF(B129="Nebensaison",IF(OR(WEEKDAY(A129,2)=1,WEEKDAY(A129,2)=3,WEEKDAY(A129,2)=5),1,0),IF(C129="Unterwoche",1,0)))</x:f>
        <x:v>1</x:v>
      </x:c>
      <x:c r="U129" s="213" t="n">
        <x:f>IF(B129="Betriebsferien",0,'00_Eingabe'!$G$24)</x:f>
        <x:v>8</x:v>
      </x:c>
    </x:row>
    <x:row r="130">
      <x:c r="A130" s="121" t="n">
        <x:f>IF(ROW()-4&lt;DATE('00_Eingabe'!$B$7+1,1,1)-DATE('00_Eingabe'!$B$7,1,1),DATE('00_Eingabe'!$B$7,1,1)+ROW()-4,"")</x:f>
        <x:v>45784</x:v>
      </x:c>
      <x:c r="B130" s="122" t="str">
        <x:f>IF(A130="","",IF(OR(AND(MONTH(A130)=12,DAY(A130)&gt;=20),AND(MONTH(A130)=1,DAY(A130)&lt;=2)),"Weihnachten",IF(OR(AND(MONTH(A130)=11,DAY(A130)&gt;=24),AND(MONTH(A130)=12,DAY(A130)&lt;=7)),"Betriebsferien",IF(OR(AND(MONTH(A130)=1,DAY(A130)&gt;=3),MONTH(A130)=2,MONTH(A130)=3,MONTH(A130)=4,MONTH(A130)=10,MONTH(A130)=11,AND(MONTH(A130)=12,DAY(A130)&lt;=15)),"Nebensaison","Hauptsaison"))))</x:f>
        <x:v>Hauptsaison</x:v>
      </x:c>
      <x:c r="C130" s="122" t="str">
        <x:f>IF(A130="","",IF(WEEKDAY(A130,2)&gt;=6,"Wochenende","Unterwoche"))</x:f>
        <x:v>Unterwoche</x:v>
      </x:c>
      <x:c r="D130" s="123" t="n">
        <x:f>IF(A130="","",IF(N130&lt;&gt;"",N130,IF(B130="Nebensaison",IF(C130="Wochenende",'00_Eingabe'!$C$24,'00_Eingabe'!$B$24),IF(B130="Hauptsaison",IF(C130="Wochenende",'00_Eingabe'!$C$25,'00_Eingabe'!$B$25),IF(B130="Weihnachten",IF(C130="Wochenende",'00_Eingabe'!$C$26,'00_Eingabe'!$B$26),IF(C130="Wochenende",'00_Eingabe'!$C$27,'00_Eingabe'!$B$27))))))</x:f>
        <x:v>0.85</x:v>
      </x:c>
      <x:c r="E130" s="122" t="n">
        <x:f>IF(OR(A130="",D130=""),"",ROUND('00_Eingabe'!$B$8*D130,0))</x:f>
        <x:v>30</x:v>
      </x:c>
      <x:c r="F130" s="122" t="n">
        <x:f>IF(E130="","",ROUND(E130*'00_Eingabe'!$B$18,0))</x:f>
        <x:v>57</x:v>
      </x:c>
      <x:c r="G130" s="123" t="n">
        <x:f>IF(A130="","",IF(O130&lt;&gt;"",O130,IF(B130="Nebensaison",IF(C130="Wochenende",'00_Eingabe'!$E$24,'00_Eingabe'!$D$24),IF(B130="Hauptsaison",IF(C130="Wochenende",'00_Eingabe'!$E$25,'00_Eingabe'!$D$25),IF(B130="Weihnachten",IF(C130="Wochenende",'00_Eingabe'!$E$26,'00_Eingabe'!$D$26),IF(C130="Wochenende",'00_Eingabe'!$E$27,'00_Eingabe'!$D$27))))))</x:f>
        <x:v>0.85</x:v>
      </x:c>
      <x:c r="H130" s="122" t="n">
        <x:f>IF(OR(A130="",G130=""),"",ROUND('00_Eingabe'!$B$9*G130,0))</x:f>
        <x:v>3</x:v>
      </x:c>
      <x:c r="I130" s="122" t="n">
        <x:f>IF(H130="","",ROUND(H130*'00_Eingabe'!$B$19,0))</x:f>
        <x:v>7</x:v>
      </x:c>
      <x:c r="J130" s="122" t="n">
        <x:f>IF(OR(F130="",I130=""),"",F130+I130)</x:f>
        <x:v>64</x:v>
      </x:c>
      <x:c r="K130" s="122" t="n">
        <x:f>IF(J130="","",ROUND(J130*'00_Eingabe'!$B$16*(1+'00_Eingabe'!$B$14),0))</x:f>
        <x:v>74</x:v>
      </x:c>
      <x:c r="L130" s="122" t="n">
        <x:f>IF(B130="Betriebsferien",0,ROUND(J130*'00_Eingabe'!$B$40,0)+IF(C130="Wochenende",'00_Eingabe'!$B$42,'00_Eingabe'!$B$41))</x:f>
        <x:v>63</x:v>
      </x:c>
      <x:c r="M130" s="123" t="n">
        <x:f>IF(J130="","",ROUND(J130*'00_Eingabe'!$B$17*(1+'00_Eingabe'!$B$15),0))</x:f>
        <x:v>74</x:v>
      </x:c>
      <x:c r="N130" s="106"/>
      <x:c r="O130" s="106"/>
      <x:c r="P130" s="116"/>
      <x:c r="Q130" s="213" t="n">
        <x:f>IF(C130="Wochenende",1,0)</x:f>
        <x:v>0</x:v>
      </x:c>
      <x:c r="R130" s="213" t="n">
        <x:f>IF(AND(B130&lt;&gt;"Betriebsferien",OR(WEEKDAY(A130,2)=2,WEEKDAY(A130,2)=4)),1,0)</x:f>
        <x:v>0</x:v>
      </x:c>
      <x:c r="S130" s="214" t="n">
        <x:f>R130*MIN(1,'00_Eingabe'!$B$62/'00_Eingabe'!$B$61)</x:f>
        <x:v>0</x:v>
      </x:c>
      <x:c r="T130" s="213" t="n">
        <x:f>IF(B130="Betriebsferien",0,IF(B130="Nebensaison",IF(OR(WEEKDAY(A130,2)=1,WEEKDAY(A130,2)=3,WEEKDAY(A130,2)=5),1,0),IF(C130="Unterwoche",1,0)))</x:f>
        <x:v>1</x:v>
      </x:c>
      <x:c r="U130" s="213" t="n">
        <x:f>IF(B130="Betriebsferien",0,'00_Eingabe'!$G$24)</x:f>
        <x:v>8</x:v>
      </x:c>
    </x:row>
    <x:row r="131">
      <x:c r="A131" s="121" t="n">
        <x:f>IF(ROW()-4&lt;DATE('00_Eingabe'!$B$7+1,1,1)-DATE('00_Eingabe'!$B$7,1,1),DATE('00_Eingabe'!$B$7,1,1)+ROW()-4,"")</x:f>
        <x:v>45785</x:v>
      </x:c>
      <x:c r="B131" s="122" t="str">
        <x:f>IF(A131="","",IF(OR(AND(MONTH(A131)=12,DAY(A131)&gt;=20),AND(MONTH(A131)=1,DAY(A131)&lt;=2)),"Weihnachten",IF(OR(AND(MONTH(A131)=11,DAY(A131)&gt;=24),AND(MONTH(A131)=12,DAY(A131)&lt;=7)),"Betriebsferien",IF(OR(AND(MONTH(A131)=1,DAY(A131)&gt;=3),MONTH(A131)=2,MONTH(A131)=3,MONTH(A131)=4,MONTH(A131)=10,MONTH(A131)=11,AND(MONTH(A131)=12,DAY(A131)&lt;=15)),"Nebensaison","Hauptsaison"))))</x:f>
        <x:v>Hauptsaison</x:v>
      </x:c>
      <x:c r="C131" s="122" t="str">
        <x:f>IF(A131="","",IF(WEEKDAY(A131,2)&gt;=6,"Wochenende","Unterwoche"))</x:f>
        <x:v>Unterwoche</x:v>
      </x:c>
      <x:c r="D131" s="123" t="n">
        <x:f>IF(A131="","",IF(N131&lt;&gt;"",N131,IF(B131="Nebensaison",IF(C131="Wochenende",'00_Eingabe'!$C$24,'00_Eingabe'!$B$24),IF(B131="Hauptsaison",IF(C131="Wochenende",'00_Eingabe'!$C$25,'00_Eingabe'!$B$25),IF(B131="Weihnachten",IF(C131="Wochenende",'00_Eingabe'!$C$26,'00_Eingabe'!$B$26),IF(C131="Wochenende",'00_Eingabe'!$C$27,'00_Eingabe'!$B$27))))))</x:f>
        <x:v>0.85</x:v>
      </x:c>
      <x:c r="E131" s="122" t="n">
        <x:f>IF(OR(A131="",D131=""),"",ROUND('00_Eingabe'!$B$8*D131,0))</x:f>
        <x:v>30</x:v>
      </x:c>
      <x:c r="F131" s="122" t="n">
        <x:f>IF(E131="","",ROUND(E131*'00_Eingabe'!$B$18,0))</x:f>
        <x:v>57</x:v>
      </x:c>
      <x:c r="G131" s="123" t="n">
        <x:f>IF(A131="","",IF(O131&lt;&gt;"",O131,IF(B131="Nebensaison",IF(C131="Wochenende",'00_Eingabe'!$E$24,'00_Eingabe'!$D$24),IF(B131="Hauptsaison",IF(C131="Wochenende",'00_Eingabe'!$E$25,'00_Eingabe'!$D$25),IF(B131="Weihnachten",IF(C131="Wochenende",'00_Eingabe'!$E$26,'00_Eingabe'!$D$26),IF(C131="Wochenende",'00_Eingabe'!$E$27,'00_Eingabe'!$D$27))))))</x:f>
        <x:v>0.85</x:v>
      </x:c>
      <x:c r="H131" s="122" t="n">
        <x:f>IF(OR(A131="",G131=""),"",ROUND('00_Eingabe'!$B$9*G131,0))</x:f>
        <x:v>3</x:v>
      </x:c>
      <x:c r="I131" s="122" t="n">
        <x:f>IF(H131="","",ROUND(H131*'00_Eingabe'!$B$19,0))</x:f>
        <x:v>7</x:v>
      </x:c>
      <x:c r="J131" s="122" t="n">
        <x:f>IF(OR(F131="",I131=""),"",F131+I131)</x:f>
        <x:v>64</x:v>
      </x:c>
      <x:c r="K131" s="122" t="n">
        <x:f>IF(J131="","",ROUND(J131*'00_Eingabe'!$B$16*(1+'00_Eingabe'!$B$14),0))</x:f>
        <x:v>74</x:v>
      </x:c>
      <x:c r="L131" s="122" t="n">
        <x:f>IF(B131="Betriebsferien",0,ROUND(J131*'00_Eingabe'!$B$40,0)+IF(C131="Wochenende",'00_Eingabe'!$B$42,'00_Eingabe'!$B$41))</x:f>
        <x:v>63</x:v>
      </x:c>
      <x:c r="M131" s="123" t="n">
        <x:f>IF(J131="","",ROUND(J131*'00_Eingabe'!$B$17*(1+'00_Eingabe'!$B$15),0))</x:f>
        <x:v>74</x:v>
      </x:c>
      <x:c r="N131" s="106"/>
      <x:c r="O131" s="106"/>
      <x:c r="P131" s="116"/>
      <x:c r="Q131" s="213" t="n">
        <x:f>IF(C131="Wochenende",1,0)</x:f>
        <x:v>0</x:v>
      </x:c>
      <x:c r="R131" s="213" t="n">
        <x:f>IF(AND(B131&lt;&gt;"Betriebsferien",OR(WEEKDAY(A131,2)=2,WEEKDAY(A131,2)=4)),1,0)</x:f>
        <x:v>1</x:v>
      </x:c>
      <x:c r="S131" s="214" t="n">
        <x:f>R131*MIN(1,'00_Eingabe'!$B$62/'00_Eingabe'!$B$61)</x:f>
        <x:v>0.5</x:v>
      </x:c>
      <x:c r="T131" s="213" t="n">
        <x:f>IF(B131="Betriebsferien",0,IF(B131="Nebensaison",IF(OR(WEEKDAY(A131,2)=1,WEEKDAY(A131,2)=3,WEEKDAY(A131,2)=5),1,0),IF(C131="Unterwoche",1,0)))</x:f>
        <x:v>1</x:v>
      </x:c>
      <x:c r="U131" s="213" t="n">
        <x:f>IF(B131="Betriebsferien",0,'00_Eingabe'!$G$24)</x:f>
        <x:v>8</x:v>
      </x:c>
    </x:row>
    <x:row r="132">
      <x:c r="A132" s="121" t="n">
        <x:f>IF(ROW()-4&lt;DATE('00_Eingabe'!$B$7+1,1,1)-DATE('00_Eingabe'!$B$7,1,1),DATE('00_Eingabe'!$B$7,1,1)+ROW()-4,"")</x:f>
        <x:v>45786</x:v>
      </x:c>
      <x:c r="B132" s="122" t="str">
        <x:f>IF(A132="","",IF(OR(AND(MONTH(A132)=12,DAY(A132)&gt;=20),AND(MONTH(A132)=1,DAY(A132)&lt;=2)),"Weihnachten",IF(OR(AND(MONTH(A132)=11,DAY(A132)&gt;=24),AND(MONTH(A132)=12,DAY(A132)&lt;=7)),"Betriebsferien",IF(OR(AND(MONTH(A132)=1,DAY(A132)&gt;=3),MONTH(A132)=2,MONTH(A132)=3,MONTH(A132)=4,MONTH(A132)=10,MONTH(A132)=11,AND(MONTH(A132)=12,DAY(A132)&lt;=15)),"Nebensaison","Hauptsaison"))))</x:f>
        <x:v>Hauptsaison</x:v>
      </x:c>
      <x:c r="C132" s="122" t="str">
        <x:f>IF(A132="","",IF(WEEKDAY(A132,2)&gt;=6,"Wochenende","Unterwoche"))</x:f>
        <x:v>Unterwoche</x:v>
      </x:c>
      <x:c r="D132" s="123" t="n">
        <x:f>IF(A132="","",IF(N132&lt;&gt;"",N132,IF(B132="Nebensaison",IF(C132="Wochenende",'00_Eingabe'!$C$24,'00_Eingabe'!$B$24),IF(B132="Hauptsaison",IF(C132="Wochenende",'00_Eingabe'!$C$25,'00_Eingabe'!$B$25),IF(B132="Weihnachten",IF(C132="Wochenende",'00_Eingabe'!$C$26,'00_Eingabe'!$B$26),IF(C132="Wochenende",'00_Eingabe'!$C$27,'00_Eingabe'!$B$27))))))</x:f>
        <x:v>0.85</x:v>
      </x:c>
      <x:c r="E132" s="122" t="n">
        <x:f>IF(OR(A132="",D132=""),"",ROUND('00_Eingabe'!$B$8*D132,0))</x:f>
        <x:v>30</x:v>
      </x:c>
      <x:c r="F132" s="122" t="n">
        <x:f>IF(E132="","",ROUND(E132*'00_Eingabe'!$B$18,0))</x:f>
        <x:v>57</x:v>
      </x:c>
      <x:c r="G132" s="123" t="n">
        <x:f>IF(A132="","",IF(O132&lt;&gt;"",O132,IF(B132="Nebensaison",IF(C132="Wochenende",'00_Eingabe'!$E$24,'00_Eingabe'!$D$24),IF(B132="Hauptsaison",IF(C132="Wochenende",'00_Eingabe'!$E$25,'00_Eingabe'!$D$25),IF(B132="Weihnachten",IF(C132="Wochenende",'00_Eingabe'!$E$26,'00_Eingabe'!$D$26),IF(C132="Wochenende",'00_Eingabe'!$E$27,'00_Eingabe'!$D$27))))))</x:f>
        <x:v>0.85</x:v>
      </x:c>
      <x:c r="H132" s="122" t="n">
        <x:f>IF(OR(A132="",G132=""),"",ROUND('00_Eingabe'!$B$9*G132,0))</x:f>
        <x:v>3</x:v>
      </x:c>
      <x:c r="I132" s="122" t="n">
        <x:f>IF(H132="","",ROUND(H132*'00_Eingabe'!$B$19,0))</x:f>
        <x:v>7</x:v>
      </x:c>
      <x:c r="J132" s="122" t="n">
        <x:f>IF(OR(F132="",I132=""),"",F132+I132)</x:f>
        <x:v>64</x:v>
      </x:c>
      <x:c r="K132" s="122" t="n">
        <x:f>IF(J132="","",ROUND(J132*'00_Eingabe'!$B$16*(1+'00_Eingabe'!$B$14),0))</x:f>
        <x:v>74</x:v>
      </x:c>
      <x:c r="L132" s="122" t="n">
        <x:f>IF(B132="Betriebsferien",0,ROUND(J132*'00_Eingabe'!$B$40,0)+IF(C132="Wochenende",'00_Eingabe'!$B$42,'00_Eingabe'!$B$41))</x:f>
        <x:v>63</x:v>
      </x:c>
      <x:c r="M132" s="123" t="n">
        <x:f>IF(J132="","",ROUND(J132*'00_Eingabe'!$B$17*(1+'00_Eingabe'!$B$15),0))</x:f>
        <x:v>74</x:v>
      </x:c>
      <x:c r="N132" s="106"/>
      <x:c r="O132" s="106"/>
      <x:c r="P132" s="116"/>
      <x:c r="Q132" s="213" t="n">
        <x:f>IF(C132="Wochenende",1,0)</x:f>
        <x:v>0</x:v>
      </x:c>
      <x:c r="R132" s="213" t="n">
        <x:f>IF(AND(B132&lt;&gt;"Betriebsferien",OR(WEEKDAY(A132,2)=2,WEEKDAY(A132,2)=4)),1,0)</x:f>
        <x:v>0</x:v>
      </x:c>
      <x:c r="S132" s="214" t="n">
        <x:f>R132*MIN(1,'00_Eingabe'!$B$62/'00_Eingabe'!$B$61)</x:f>
        <x:v>0</x:v>
      </x:c>
      <x:c r="T132" s="213" t="n">
        <x:f>IF(B132="Betriebsferien",0,IF(B132="Nebensaison",IF(OR(WEEKDAY(A132,2)=1,WEEKDAY(A132,2)=3,WEEKDAY(A132,2)=5),1,0),IF(C132="Unterwoche",1,0)))</x:f>
        <x:v>1</x:v>
      </x:c>
      <x:c r="U132" s="213" t="n">
        <x:f>IF(B132="Betriebsferien",0,'00_Eingabe'!$G$24)</x:f>
        <x:v>8</x:v>
      </x:c>
    </x:row>
    <x:row r="133">
      <x:c r="A133" s="121" t="n">
        <x:f>IF(ROW()-4&lt;DATE('00_Eingabe'!$B$7+1,1,1)-DATE('00_Eingabe'!$B$7,1,1),DATE('00_Eingabe'!$B$7,1,1)+ROW()-4,"")</x:f>
        <x:v>45787</x:v>
      </x:c>
      <x:c r="B133" s="122" t="str">
        <x:f>IF(A133="","",IF(OR(AND(MONTH(A133)=12,DAY(A133)&gt;=20),AND(MONTH(A133)=1,DAY(A133)&lt;=2)),"Weihnachten",IF(OR(AND(MONTH(A133)=11,DAY(A133)&gt;=24),AND(MONTH(A133)=12,DAY(A133)&lt;=7)),"Betriebsferien",IF(OR(AND(MONTH(A133)=1,DAY(A133)&gt;=3),MONTH(A133)=2,MONTH(A133)=3,MONTH(A133)=4,MONTH(A133)=10,MONTH(A133)=11,AND(MONTH(A133)=12,DAY(A133)&lt;=15)),"Nebensaison","Hauptsaison"))))</x:f>
        <x:v>Hauptsaison</x:v>
      </x:c>
      <x:c r="C133" s="122" t="str">
        <x:f>IF(A133="","",IF(WEEKDAY(A133,2)&gt;=6,"Wochenende","Unterwoche"))</x:f>
        <x:v>Wochenende</x:v>
      </x:c>
      <x:c r="D133" s="123" t="n">
        <x:f>IF(A133="","",IF(N133&lt;&gt;"",N133,IF(B133="Nebensaison",IF(C133="Wochenende",'00_Eingabe'!$C$24,'00_Eingabe'!$B$24),IF(B133="Hauptsaison",IF(C133="Wochenende",'00_Eingabe'!$C$25,'00_Eingabe'!$B$25),IF(B133="Weihnachten",IF(C133="Wochenende",'00_Eingabe'!$C$26,'00_Eingabe'!$B$26),IF(C133="Wochenende",'00_Eingabe'!$C$27,'00_Eingabe'!$B$27))))))</x:f>
        <x:v>0.9</x:v>
      </x:c>
      <x:c r="E133" s="122" t="n">
        <x:f>IF(OR(A133="",D133=""),"",ROUND('00_Eingabe'!$B$8*D133,0))</x:f>
        <x:v>32</x:v>
      </x:c>
      <x:c r="F133" s="122" t="n">
        <x:f>IF(E133="","",ROUND(E133*'00_Eingabe'!$B$18,0))</x:f>
        <x:v>61</x:v>
      </x:c>
      <x:c r="G133" s="123" t="n">
        <x:f>IF(A133="","",IF(O133&lt;&gt;"",O133,IF(B133="Nebensaison",IF(C133="Wochenende",'00_Eingabe'!$E$24,'00_Eingabe'!$D$24),IF(B133="Hauptsaison",IF(C133="Wochenende",'00_Eingabe'!$E$25,'00_Eingabe'!$D$25),IF(B133="Weihnachten",IF(C133="Wochenende",'00_Eingabe'!$E$26,'00_Eingabe'!$D$26),IF(C133="Wochenende",'00_Eingabe'!$E$27,'00_Eingabe'!$D$27))))))</x:f>
        <x:v>0.9</x:v>
      </x:c>
      <x:c r="H133" s="122" t="n">
        <x:f>IF(OR(A133="",G133=""),"",ROUND('00_Eingabe'!$B$9*G133,0))</x:f>
        <x:v>4</x:v>
      </x:c>
      <x:c r="I133" s="122" t="n">
        <x:f>IF(H133="","",ROUND(H133*'00_Eingabe'!$B$19,0))</x:f>
        <x:v>9</x:v>
      </x:c>
      <x:c r="J133" s="122" t="n">
        <x:f>IF(OR(F133="",I133=""),"",F133+I133)</x:f>
        <x:v>70</x:v>
      </x:c>
      <x:c r="K133" s="122" t="n">
        <x:f>IF(J133="","",ROUND(J133*'00_Eingabe'!$B$16*(1+'00_Eingabe'!$B$14),0))</x:f>
        <x:v>81</x:v>
      </x:c>
      <x:c r="L133" s="122" t="n">
        <x:f>IF(B133="Betriebsferien",0,ROUND(J133*'00_Eingabe'!$B$40,0)+IF(C133="Wochenende",'00_Eingabe'!$B$42,'00_Eingabe'!$B$41))</x:f>
        <x:v>93</x:v>
      </x:c>
      <x:c r="M133" s="123" t="n">
        <x:f>IF(J133="","",ROUND(J133*'00_Eingabe'!$B$17*(1+'00_Eingabe'!$B$15),0))</x:f>
        <x:v>81</x:v>
      </x:c>
      <x:c r="N133" s="106"/>
      <x:c r="O133" s="106"/>
      <x:c r="P133" s="116"/>
      <x:c r="Q133" s="213" t="n">
        <x:f>IF(C133="Wochenende",1,0)</x:f>
        <x:v>1</x:v>
      </x:c>
      <x:c r="R133" s="213" t="n">
        <x:f>IF(AND(B133&lt;&gt;"Betriebsferien",OR(WEEKDAY(A133,2)=2,WEEKDAY(A133,2)=4)),1,0)</x:f>
        <x:v>0</x:v>
      </x:c>
      <x:c r="S133" s="214" t="n">
        <x:f>R133*MIN(1,'00_Eingabe'!$B$62/'00_Eingabe'!$B$61)</x:f>
        <x:v>0</x:v>
      </x:c>
      <x:c r="T133" s="213" t="n">
        <x:f>IF(B133="Betriebsferien",0,IF(B133="Nebensaison",IF(OR(WEEKDAY(A133,2)=1,WEEKDAY(A133,2)=3,WEEKDAY(A133,2)=5),1,0),IF(C133="Unterwoche",1,0)))</x:f>
        <x:v>0</x:v>
      </x:c>
      <x:c r="U133" s="213" t="n">
        <x:f>IF(B133="Betriebsferien",0,'00_Eingabe'!$G$24)</x:f>
        <x:v>8</x:v>
      </x:c>
    </x:row>
    <x:row r="134">
      <x:c r="A134" s="121" t="n">
        <x:f>IF(ROW()-4&lt;DATE('00_Eingabe'!$B$7+1,1,1)-DATE('00_Eingabe'!$B$7,1,1),DATE('00_Eingabe'!$B$7,1,1)+ROW()-4,"")</x:f>
        <x:v>45788</x:v>
      </x:c>
      <x:c r="B134" s="122" t="str">
        <x:f>IF(A134="","",IF(OR(AND(MONTH(A134)=12,DAY(A134)&gt;=20),AND(MONTH(A134)=1,DAY(A134)&lt;=2)),"Weihnachten",IF(OR(AND(MONTH(A134)=11,DAY(A134)&gt;=24),AND(MONTH(A134)=12,DAY(A134)&lt;=7)),"Betriebsferien",IF(OR(AND(MONTH(A134)=1,DAY(A134)&gt;=3),MONTH(A134)=2,MONTH(A134)=3,MONTH(A134)=4,MONTH(A134)=10,MONTH(A134)=11,AND(MONTH(A134)=12,DAY(A134)&lt;=15)),"Nebensaison","Hauptsaison"))))</x:f>
        <x:v>Hauptsaison</x:v>
      </x:c>
      <x:c r="C134" s="122" t="str">
        <x:f>IF(A134="","",IF(WEEKDAY(A134,2)&gt;=6,"Wochenende","Unterwoche"))</x:f>
        <x:v>Wochenende</x:v>
      </x:c>
      <x:c r="D134" s="123" t="n">
        <x:f>IF(A134="","",IF(N134&lt;&gt;"",N134,IF(B134="Nebensaison",IF(C134="Wochenende",'00_Eingabe'!$C$24,'00_Eingabe'!$B$24),IF(B134="Hauptsaison",IF(C134="Wochenende",'00_Eingabe'!$C$25,'00_Eingabe'!$B$25),IF(B134="Weihnachten",IF(C134="Wochenende",'00_Eingabe'!$C$26,'00_Eingabe'!$B$26),IF(C134="Wochenende",'00_Eingabe'!$C$27,'00_Eingabe'!$B$27))))))</x:f>
        <x:v>0.9</x:v>
      </x:c>
      <x:c r="E134" s="122" t="n">
        <x:f>IF(OR(A134="",D134=""),"",ROUND('00_Eingabe'!$B$8*D134,0))</x:f>
        <x:v>32</x:v>
      </x:c>
      <x:c r="F134" s="122" t="n">
        <x:f>IF(E134="","",ROUND(E134*'00_Eingabe'!$B$18,0))</x:f>
        <x:v>61</x:v>
      </x:c>
      <x:c r="G134" s="123" t="n">
        <x:f>IF(A134="","",IF(O134&lt;&gt;"",O134,IF(B134="Nebensaison",IF(C134="Wochenende",'00_Eingabe'!$E$24,'00_Eingabe'!$D$24),IF(B134="Hauptsaison",IF(C134="Wochenende",'00_Eingabe'!$E$25,'00_Eingabe'!$D$25),IF(B134="Weihnachten",IF(C134="Wochenende",'00_Eingabe'!$E$26,'00_Eingabe'!$D$26),IF(C134="Wochenende",'00_Eingabe'!$E$27,'00_Eingabe'!$D$27))))))</x:f>
        <x:v>0.9</x:v>
      </x:c>
      <x:c r="H134" s="122" t="n">
        <x:f>IF(OR(A134="",G134=""),"",ROUND('00_Eingabe'!$B$9*G134,0))</x:f>
        <x:v>4</x:v>
      </x:c>
      <x:c r="I134" s="122" t="n">
        <x:f>IF(H134="","",ROUND(H134*'00_Eingabe'!$B$19,0))</x:f>
        <x:v>9</x:v>
      </x:c>
      <x:c r="J134" s="122" t="n">
        <x:f>IF(OR(F134="",I134=""),"",F134+I134)</x:f>
        <x:v>70</x:v>
      </x:c>
      <x:c r="K134" s="122" t="n">
        <x:f>IF(J134="","",ROUND(J134*'00_Eingabe'!$B$16*(1+'00_Eingabe'!$B$14),0))</x:f>
        <x:v>81</x:v>
      </x:c>
      <x:c r="L134" s="122" t="n">
        <x:f>IF(B134="Betriebsferien",0,ROUND(J134*'00_Eingabe'!$B$40,0)+IF(C134="Wochenende",'00_Eingabe'!$B$42,'00_Eingabe'!$B$41))</x:f>
        <x:v>93</x:v>
      </x:c>
      <x:c r="M134" s="123" t="n">
        <x:f>IF(J134="","",ROUND(J134*'00_Eingabe'!$B$17*(1+'00_Eingabe'!$B$15),0))</x:f>
        <x:v>81</x:v>
      </x:c>
      <x:c r="N134" s="106"/>
      <x:c r="O134" s="106"/>
      <x:c r="P134" s="116"/>
      <x:c r="Q134" s="213" t="n">
        <x:f>IF(C134="Wochenende",1,0)</x:f>
        <x:v>1</x:v>
      </x:c>
      <x:c r="R134" s="213" t="n">
        <x:f>IF(AND(B134&lt;&gt;"Betriebsferien",OR(WEEKDAY(A134,2)=2,WEEKDAY(A134,2)=4)),1,0)</x:f>
        <x:v>0</x:v>
      </x:c>
      <x:c r="S134" s="214" t="n">
        <x:f>R134*MIN(1,'00_Eingabe'!$B$62/'00_Eingabe'!$B$61)</x:f>
        <x:v>0</x:v>
      </x:c>
      <x:c r="T134" s="213" t="n">
        <x:f>IF(B134="Betriebsferien",0,IF(B134="Nebensaison",IF(OR(WEEKDAY(A134,2)=1,WEEKDAY(A134,2)=3,WEEKDAY(A134,2)=5),1,0),IF(C134="Unterwoche",1,0)))</x:f>
        <x:v>0</x:v>
      </x:c>
      <x:c r="U134" s="213" t="n">
        <x:f>IF(B134="Betriebsferien",0,'00_Eingabe'!$G$24)</x:f>
        <x:v>8</x:v>
      </x:c>
    </x:row>
    <x:row r="135">
      <x:c r="A135" s="121" t="n">
        <x:f>IF(ROW()-4&lt;DATE('00_Eingabe'!$B$7+1,1,1)-DATE('00_Eingabe'!$B$7,1,1),DATE('00_Eingabe'!$B$7,1,1)+ROW()-4,"")</x:f>
        <x:v>45789</x:v>
      </x:c>
      <x:c r="B135" s="122" t="str">
        <x:f>IF(A135="","",IF(OR(AND(MONTH(A135)=12,DAY(A135)&gt;=20),AND(MONTH(A135)=1,DAY(A135)&lt;=2)),"Weihnachten",IF(OR(AND(MONTH(A135)=11,DAY(A135)&gt;=24),AND(MONTH(A135)=12,DAY(A135)&lt;=7)),"Betriebsferien",IF(OR(AND(MONTH(A135)=1,DAY(A135)&gt;=3),MONTH(A135)=2,MONTH(A135)=3,MONTH(A135)=4,MONTH(A135)=10,MONTH(A135)=11,AND(MONTH(A135)=12,DAY(A135)&lt;=15)),"Nebensaison","Hauptsaison"))))</x:f>
        <x:v>Hauptsaison</x:v>
      </x:c>
      <x:c r="C135" s="122" t="str">
        <x:f>IF(A135="","",IF(WEEKDAY(A135,2)&gt;=6,"Wochenende","Unterwoche"))</x:f>
        <x:v>Unterwoche</x:v>
      </x:c>
      <x:c r="D135" s="123" t="n">
        <x:f>IF(A135="","",IF(N135&lt;&gt;"",N135,IF(B135="Nebensaison",IF(C135="Wochenende",'00_Eingabe'!$C$24,'00_Eingabe'!$B$24),IF(B135="Hauptsaison",IF(C135="Wochenende",'00_Eingabe'!$C$25,'00_Eingabe'!$B$25),IF(B135="Weihnachten",IF(C135="Wochenende",'00_Eingabe'!$C$26,'00_Eingabe'!$B$26),IF(C135="Wochenende",'00_Eingabe'!$C$27,'00_Eingabe'!$B$27))))))</x:f>
        <x:v>0.85</x:v>
      </x:c>
      <x:c r="E135" s="122" t="n">
        <x:f>IF(OR(A135="",D135=""),"",ROUND('00_Eingabe'!$B$8*D135,0))</x:f>
        <x:v>30</x:v>
      </x:c>
      <x:c r="F135" s="122" t="n">
        <x:f>IF(E135="","",ROUND(E135*'00_Eingabe'!$B$18,0))</x:f>
        <x:v>57</x:v>
      </x:c>
      <x:c r="G135" s="123" t="n">
        <x:f>IF(A135="","",IF(O135&lt;&gt;"",O135,IF(B135="Nebensaison",IF(C135="Wochenende",'00_Eingabe'!$E$24,'00_Eingabe'!$D$24),IF(B135="Hauptsaison",IF(C135="Wochenende",'00_Eingabe'!$E$25,'00_Eingabe'!$D$25),IF(B135="Weihnachten",IF(C135="Wochenende",'00_Eingabe'!$E$26,'00_Eingabe'!$D$26),IF(C135="Wochenende",'00_Eingabe'!$E$27,'00_Eingabe'!$D$27))))))</x:f>
        <x:v>0.85</x:v>
      </x:c>
      <x:c r="H135" s="122" t="n">
        <x:f>IF(OR(A135="",G135=""),"",ROUND('00_Eingabe'!$B$9*G135,0))</x:f>
        <x:v>3</x:v>
      </x:c>
      <x:c r="I135" s="122" t="n">
        <x:f>IF(H135="","",ROUND(H135*'00_Eingabe'!$B$19,0))</x:f>
        <x:v>7</x:v>
      </x:c>
      <x:c r="J135" s="122" t="n">
        <x:f>IF(OR(F135="",I135=""),"",F135+I135)</x:f>
        <x:v>64</x:v>
      </x:c>
      <x:c r="K135" s="122" t="n">
        <x:f>IF(J135="","",ROUND(J135*'00_Eingabe'!$B$16*(1+'00_Eingabe'!$B$14),0))</x:f>
        <x:v>74</x:v>
      </x:c>
      <x:c r="L135" s="122" t="n">
        <x:f>IF(B135="Betriebsferien",0,ROUND(J135*'00_Eingabe'!$B$40,0)+IF(C135="Wochenende",'00_Eingabe'!$B$42,'00_Eingabe'!$B$41))</x:f>
        <x:v>63</x:v>
      </x:c>
      <x:c r="M135" s="123" t="n">
        <x:f>IF(J135="","",ROUND(J135*'00_Eingabe'!$B$17*(1+'00_Eingabe'!$B$15),0))</x:f>
        <x:v>74</x:v>
      </x:c>
      <x:c r="N135" s="106"/>
      <x:c r="O135" s="106"/>
      <x:c r="P135" s="116"/>
      <x:c r="Q135" s="213" t="n">
        <x:f>IF(C135="Wochenende",1,0)</x:f>
        <x:v>0</x:v>
      </x:c>
      <x:c r="R135" s="213" t="n">
        <x:f>IF(AND(B135&lt;&gt;"Betriebsferien",OR(WEEKDAY(A135,2)=2,WEEKDAY(A135,2)=4)),1,0)</x:f>
        <x:v>0</x:v>
      </x:c>
      <x:c r="S135" s="214" t="n">
        <x:f>R135*MIN(1,'00_Eingabe'!$B$62/'00_Eingabe'!$B$61)</x:f>
        <x:v>0</x:v>
      </x:c>
      <x:c r="T135" s="213" t="n">
        <x:f>IF(B135="Betriebsferien",0,IF(B135="Nebensaison",IF(OR(WEEKDAY(A135,2)=1,WEEKDAY(A135,2)=3,WEEKDAY(A135,2)=5),1,0),IF(C135="Unterwoche",1,0)))</x:f>
        <x:v>1</x:v>
      </x:c>
      <x:c r="U135" s="213" t="n">
        <x:f>IF(B135="Betriebsferien",0,'00_Eingabe'!$G$24)</x:f>
        <x:v>8</x:v>
      </x:c>
    </x:row>
    <x:row r="136">
      <x:c r="A136" s="121" t="n">
        <x:f>IF(ROW()-4&lt;DATE('00_Eingabe'!$B$7+1,1,1)-DATE('00_Eingabe'!$B$7,1,1),DATE('00_Eingabe'!$B$7,1,1)+ROW()-4,"")</x:f>
        <x:v>45790</x:v>
      </x:c>
      <x:c r="B136" s="122" t="str">
        <x:f>IF(A136="","",IF(OR(AND(MONTH(A136)=12,DAY(A136)&gt;=20),AND(MONTH(A136)=1,DAY(A136)&lt;=2)),"Weihnachten",IF(OR(AND(MONTH(A136)=11,DAY(A136)&gt;=24),AND(MONTH(A136)=12,DAY(A136)&lt;=7)),"Betriebsferien",IF(OR(AND(MONTH(A136)=1,DAY(A136)&gt;=3),MONTH(A136)=2,MONTH(A136)=3,MONTH(A136)=4,MONTH(A136)=10,MONTH(A136)=11,AND(MONTH(A136)=12,DAY(A136)&lt;=15)),"Nebensaison","Hauptsaison"))))</x:f>
        <x:v>Hauptsaison</x:v>
      </x:c>
      <x:c r="C136" s="122" t="str">
        <x:f>IF(A136="","",IF(WEEKDAY(A136,2)&gt;=6,"Wochenende","Unterwoche"))</x:f>
        <x:v>Unterwoche</x:v>
      </x:c>
      <x:c r="D136" s="123" t="n">
        <x:f>IF(A136="","",IF(N136&lt;&gt;"",N136,IF(B136="Nebensaison",IF(C136="Wochenende",'00_Eingabe'!$C$24,'00_Eingabe'!$B$24),IF(B136="Hauptsaison",IF(C136="Wochenende",'00_Eingabe'!$C$25,'00_Eingabe'!$B$25),IF(B136="Weihnachten",IF(C136="Wochenende",'00_Eingabe'!$C$26,'00_Eingabe'!$B$26),IF(C136="Wochenende",'00_Eingabe'!$C$27,'00_Eingabe'!$B$27))))))</x:f>
        <x:v>0.85</x:v>
      </x:c>
      <x:c r="E136" s="122" t="n">
        <x:f>IF(OR(A136="",D136=""),"",ROUND('00_Eingabe'!$B$8*D136,0))</x:f>
        <x:v>30</x:v>
      </x:c>
      <x:c r="F136" s="122" t="n">
        <x:f>IF(E136="","",ROUND(E136*'00_Eingabe'!$B$18,0))</x:f>
        <x:v>57</x:v>
      </x:c>
      <x:c r="G136" s="123" t="n">
        <x:f>IF(A136="","",IF(O136&lt;&gt;"",O136,IF(B136="Nebensaison",IF(C136="Wochenende",'00_Eingabe'!$E$24,'00_Eingabe'!$D$24),IF(B136="Hauptsaison",IF(C136="Wochenende",'00_Eingabe'!$E$25,'00_Eingabe'!$D$25),IF(B136="Weihnachten",IF(C136="Wochenende",'00_Eingabe'!$E$26,'00_Eingabe'!$D$26),IF(C136="Wochenende",'00_Eingabe'!$E$27,'00_Eingabe'!$D$27))))))</x:f>
        <x:v>0.85</x:v>
      </x:c>
      <x:c r="H136" s="122" t="n">
        <x:f>IF(OR(A136="",G136=""),"",ROUND('00_Eingabe'!$B$9*G136,0))</x:f>
        <x:v>3</x:v>
      </x:c>
      <x:c r="I136" s="122" t="n">
        <x:f>IF(H136="","",ROUND(H136*'00_Eingabe'!$B$19,0))</x:f>
        <x:v>7</x:v>
      </x:c>
      <x:c r="J136" s="122" t="n">
        <x:f>IF(OR(F136="",I136=""),"",F136+I136)</x:f>
        <x:v>64</x:v>
      </x:c>
      <x:c r="K136" s="122" t="n">
        <x:f>IF(J136="","",ROUND(J136*'00_Eingabe'!$B$16*(1+'00_Eingabe'!$B$14),0))</x:f>
        <x:v>74</x:v>
      </x:c>
      <x:c r="L136" s="122" t="n">
        <x:f>IF(B136="Betriebsferien",0,ROUND(J136*'00_Eingabe'!$B$40,0)+IF(C136="Wochenende",'00_Eingabe'!$B$42,'00_Eingabe'!$B$41))</x:f>
        <x:v>63</x:v>
      </x:c>
      <x:c r="M136" s="123" t="n">
        <x:f>IF(J136="","",ROUND(J136*'00_Eingabe'!$B$17*(1+'00_Eingabe'!$B$15),0))</x:f>
        <x:v>74</x:v>
      </x:c>
      <x:c r="N136" s="106"/>
      <x:c r="O136" s="106"/>
      <x:c r="P136" s="116"/>
      <x:c r="Q136" s="213" t="n">
        <x:f>IF(C136="Wochenende",1,0)</x:f>
        <x:v>0</x:v>
      </x:c>
      <x:c r="R136" s="213" t="n">
        <x:f>IF(AND(B136&lt;&gt;"Betriebsferien",OR(WEEKDAY(A136,2)=2,WEEKDAY(A136,2)=4)),1,0)</x:f>
        <x:v>1</x:v>
      </x:c>
      <x:c r="S136" s="214" t="n">
        <x:f>R136*MIN(1,'00_Eingabe'!$B$62/'00_Eingabe'!$B$61)</x:f>
        <x:v>0.5</x:v>
      </x:c>
      <x:c r="T136" s="213" t="n">
        <x:f>IF(B136="Betriebsferien",0,IF(B136="Nebensaison",IF(OR(WEEKDAY(A136,2)=1,WEEKDAY(A136,2)=3,WEEKDAY(A136,2)=5),1,0),IF(C136="Unterwoche",1,0)))</x:f>
        <x:v>1</x:v>
      </x:c>
      <x:c r="U136" s="213" t="n">
        <x:f>IF(B136="Betriebsferien",0,'00_Eingabe'!$G$24)</x:f>
        <x:v>8</x:v>
      </x:c>
    </x:row>
    <x:row r="137">
      <x:c r="A137" s="121" t="n">
        <x:f>IF(ROW()-4&lt;DATE('00_Eingabe'!$B$7+1,1,1)-DATE('00_Eingabe'!$B$7,1,1),DATE('00_Eingabe'!$B$7,1,1)+ROW()-4,"")</x:f>
        <x:v>45791</x:v>
      </x:c>
      <x:c r="B137" s="122" t="str">
        <x:f>IF(A137="","",IF(OR(AND(MONTH(A137)=12,DAY(A137)&gt;=20),AND(MONTH(A137)=1,DAY(A137)&lt;=2)),"Weihnachten",IF(OR(AND(MONTH(A137)=11,DAY(A137)&gt;=24),AND(MONTH(A137)=12,DAY(A137)&lt;=7)),"Betriebsferien",IF(OR(AND(MONTH(A137)=1,DAY(A137)&gt;=3),MONTH(A137)=2,MONTH(A137)=3,MONTH(A137)=4,MONTH(A137)=10,MONTH(A137)=11,AND(MONTH(A137)=12,DAY(A137)&lt;=15)),"Nebensaison","Hauptsaison"))))</x:f>
        <x:v>Hauptsaison</x:v>
      </x:c>
      <x:c r="C137" s="122" t="str">
        <x:f>IF(A137="","",IF(WEEKDAY(A137,2)&gt;=6,"Wochenende","Unterwoche"))</x:f>
        <x:v>Unterwoche</x:v>
      </x:c>
      <x:c r="D137" s="123" t="n">
        <x:f>IF(A137="","",IF(N137&lt;&gt;"",N137,IF(B137="Nebensaison",IF(C137="Wochenende",'00_Eingabe'!$C$24,'00_Eingabe'!$B$24),IF(B137="Hauptsaison",IF(C137="Wochenende",'00_Eingabe'!$C$25,'00_Eingabe'!$B$25),IF(B137="Weihnachten",IF(C137="Wochenende",'00_Eingabe'!$C$26,'00_Eingabe'!$B$26),IF(C137="Wochenende",'00_Eingabe'!$C$27,'00_Eingabe'!$B$27))))))</x:f>
        <x:v>0.85</x:v>
      </x:c>
      <x:c r="E137" s="122" t="n">
        <x:f>IF(OR(A137="",D137=""),"",ROUND('00_Eingabe'!$B$8*D137,0))</x:f>
        <x:v>30</x:v>
      </x:c>
      <x:c r="F137" s="122" t="n">
        <x:f>IF(E137="","",ROUND(E137*'00_Eingabe'!$B$18,0))</x:f>
        <x:v>57</x:v>
      </x:c>
      <x:c r="G137" s="123" t="n">
        <x:f>IF(A137="","",IF(O137&lt;&gt;"",O137,IF(B137="Nebensaison",IF(C137="Wochenende",'00_Eingabe'!$E$24,'00_Eingabe'!$D$24),IF(B137="Hauptsaison",IF(C137="Wochenende",'00_Eingabe'!$E$25,'00_Eingabe'!$D$25),IF(B137="Weihnachten",IF(C137="Wochenende",'00_Eingabe'!$E$26,'00_Eingabe'!$D$26),IF(C137="Wochenende",'00_Eingabe'!$E$27,'00_Eingabe'!$D$27))))))</x:f>
        <x:v>0.85</x:v>
      </x:c>
      <x:c r="H137" s="122" t="n">
        <x:f>IF(OR(A137="",G137=""),"",ROUND('00_Eingabe'!$B$9*G137,0))</x:f>
        <x:v>3</x:v>
      </x:c>
      <x:c r="I137" s="122" t="n">
        <x:f>IF(H137="","",ROUND(H137*'00_Eingabe'!$B$19,0))</x:f>
        <x:v>7</x:v>
      </x:c>
      <x:c r="J137" s="122" t="n">
        <x:f>IF(OR(F137="",I137=""),"",F137+I137)</x:f>
        <x:v>64</x:v>
      </x:c>
      <x:c r="K137" s="122" t="n">
        <x:f>IF(J137="","",ROUND(J137*'00_Eingabe'!$B$16*(1+'00_Eingabe'!$B$14),0))</x:f>
        <x:v>74</x:v>
      </x:c>
      <x:c r="L137" s="122" t="n">
        <x:f>IF(B137="Betriebsferien",0,ROUND(J137*'00_Eingabe'!$B$40,0)+IF(C137="Wochenende",'00_Eingabe'!$B$42,'00_Eingabe'!$B$41))</x:f>
        <x:v>63</x:v>
      </x:c>
      <x:c r="M137" s="123" t="n">
        <x:f>IF(J137="","",ROUND(J137*'00_Eingabe'!$B$17*(1+'00_Eingabe'!$B$15),0))</x:f>
        <x:v>74</x:v>
      </x:c>
      <x:c r="N137" s="106"/>
      <x:c r="O137" s="106"/>
      <x:c r="P137" s="116"/>
      <x:c r="Q137" s="213" t="n">
        <x:f>IF(C137="Wochenende",1,0)</x:f>
        <x:v>0</x:v>
      </x:c>
      <x:c r="R137" s="213" t="n">
        <x:f>IF(AND(B137&lt;&gt;"Betriebsferien",OR(WEEKDAY(A137,2)=2,WEEKDAY(A137,2)=4)),1,0)</x:f>
        <x:v>0</x:v>
      </x:c>
      <x:c r="S137" s="214" t="n">
        <x:f>R137*MIN(1,'00_Eingabe'!$B$62/'00_Eingabe'!$B$61)</x:f>
        <x:v>0</x:v>
      </x:c>
      <x:c r="T137" s="213" t="n">
        <x:f>IF(B137="Betriebsferien",0,IF(B137="Nebensaison",IF(OR(WEEKDAY(A137,2)=1,WEEKDAY(A137,2)=3,WEEKDAY(A137,2)=5),1,0),IF(C137="Unterwoche",1,0)))</x:f>
        <x:v>1</x:v>
      </x:c>
      <x:c r="U137" s="213" t="n">
        <x:f>IF(B137="Betriebsferien",0,'00_Eingabe'!$G$24)</x:f>
        <x:v>8</x:v>
      </x:c>
    </x:row>
    <x:row r="138">
      <x:c r="A138" s="121" t="n">
        <x:f>IF(ROW()-4&lt;DATE('00_Eingabe'!$B$7+1,1,1)-DATE('00_Eingabe'!$B$7,1,1),DATE('00_Eingabe'!$B$7,1,1)+ROW()-4,"")</x:f>
        <x:v>45792</x:v>
      </x:c>
      <x:c r="B138" s="122" t="str">
        <x:f>IF(A138="","",IF(OR(AND(MONTH(A138)=12,DAY(A138)&gt;=20),AND(MONTH(A138)=1,DAY(A138)&lt;=2)),"Weihnachten",IF(OR(AND(MONTH(A138)=11,DAY(A138)&gt;=24),AND(MONTH(A138)=12,DAY(A138)&lt;=7)),"Betriebsferien",IF(OR(AND(MONTH(A138)=1,DAY(A138)&gt;=3),MONTH(A138)=2,MONTH(A138)=3,MONTH(A138)=4,MONTH(A138)=10,MONTH(A138)=11,AND(MONTH(A138)=12,DAY(A138)&lt;=15)),"Nebensaison","Hauptsaison"))))</x:f>
        <x:v>Hauptsaison</x:v>
      </x:c>
      <x:c r="C138" s="122" t="str">
        <x:f>IF(A138="","",IF(WEEKDAY(A138,2)&gt;=6,"Wochenende","Unterwoche"))</x:f>
        <x:v>Unterwoche</x:v>
      </x:c>
      <x:c r="D138" s="123" t="n">
        <x:f>IF(A138="","",IF(N138&lt;&gt;"",N138,IF(B138="Nebensaison",IF(C138="Wochenende",'00_Eingabe'!$C$24,'00_Eingabe'!$B$24),IF(B138="Hauptsaison",IF(C138="Wochenende",'00_Eingabe'!$C$25,'00_Eingabe'!$B$25),IF(B138="Weihnachten",IF(C138="Wochenende",'00_Eingabe'!$C$26,'00_Eingabe'!$B$26),IF(C138="Wochenende",'00_Eingabe'!$C$27,'00_Eingabe'!$B$27))))))</x:f>
        <x:v>0.85</x:v>
      </x:c>
      <x:c r="E138" s="122" t="n">
        <x:f>IF(OR(A138="",D138=""),"",ROUND('00_Eingabe'!$B$8*D138,0))</x:f>
        <x:v>30</x:v>
      </x:c>
      <x:c r="F138" s="122" t="n">
        <x:f>IF(E138="","",ROUND(E138*'00_Eingabe'!$B$18,0))</x:f>
        <x:v>57</x:v>
      </x:c>
      <x:c r="G138" s="123" t="n">
        <x:f>IF(A138="","",IF(O138&lt;&gt;"",O138,IF(B138="Nebensaison",IF(C138="Wochenende",'00_Eingabe'!$E$24,'00_Eingabe'!$D$24),IF(B138="Hauptsaison",IF(C138="Wochenende",'00_Eingabe'!$E$25,'00_Eingabe'!$D$25),IF(B138="Weihnachten",IF(C138="Wochenende",'00_Eingabe'!$E$26,'00_Eingabe'!$D$26),IF(C138="Wochenende",'00_Eingabe'!$E$27,'00_Eingabe'!$D$27))))))</x:f>
        <x:v>0.85</x:v>
      </x:c>
      <x:c r="H138" s="122" t="n">
        <x:f>IF(OR(A138="",G138=""),"",ROUND('00_Eingabe'!$B$9*G138,0))</x:f>
        <x:v>3</x:v>
      </x:c>
      <x:c r="I138" s="122" t="n">
        <x:f>IF(H138="","",ROUND(H138*'00_Eingabe'!$B$19,0))</x:f>
        <x:v>7</x:v>
      </x:c>
      <x:c r="J138" s="122" t="n">
        <x:f>IF(OR(F138="",I138=""),"",F138+I138)</x:f>
        <x:v>64</x:v>
      </x:c>
      <x:c r="K138" s="122" t="n">
        <x:f>IF(J138="","",ROUND(J138*'00_Eingabe'!$B$16*(1+'00_Eingabe'!$B$14),0))</x:f>
        <x:v>74</x:v>
      </x:c>
      <x:c r="L138" s="122" t="n">
        <x:f>IF(B138="Betriebsferien",0,ROUND(J138*'00_Eingabe'!$B$40,0)+IF(C138="Wochenende",'00_Eingabe'!$B$42,'00_Eingabe'!$B$41))</x:f>
        <x:v>63</x:v>
      </x:c>
      <x:c r="M138" s="123" t="n">
        <x:f>IF(J138="","",ROUND(J138*'00_Eingabe'!$B$17*(1+'00_Eingabe'!$B$15),0))</x:f>
        <x:v>74</x:v>
      </x:c>
      <x:c r="N138" s="106"/>
      <x:c r="O138" s="106"/>
      <x:c r="P138" s="116"/>
      <x:c r="Q138" s="213" t="n">
        <x:f>IF(C138="Wochenende",1,0)</x:f>
        <x:v>0</x:v>
      </x:c>
      <x:c r="R138" s="213" t="n">
        <x:f>IF(AND(B138&lt;&gt;"Betriebsferien",OR(WEEKDAY(A138,2)=2,WEEKDAY(A138,2)=4)),1,0)</x:f>
        <x:v>1</x:v>
      </x:c>
      <x:c r="S138" s="214" t="n">
        <x:f>R138*MIN(1,'00_Eingabe'!$B$62/'00_Eingabe'!$B$61)</x:f>
        <x:v>0.5</x:v>
      </x:c>
      <x:c r="T138" s="213" t="n">
        <x:f>IF(B138="Betriebsferien",0,IF(B138="Nebensaison",IF(OR(WEEKDAY(A138,2)=1,WEEKDAY(A138,2)=3,WEEKDAY(A138,2)=5),1,0),IF(C138="Unterwoche",1,0)))</x:f>
        <x:v>1</x:v>
      </x:c>
      <x:c r="U138" s="213" t="n">
        <x:f>IF(B138="Betriebsferien",0,'00_Eingabe'!$G$24)</x:f>
        <x:v>8</x:v>
      </x:c>
    </x:row>
    <x:row r="139">
      <x:c r="A139" s="121" t="n">
        <x:f>IF(ROW()-4&lt;DATE('00_Eingabe'!$B$7+1,1,1)-DATE('00_Eingabe'!$B$7,1,1),DATE('00_Eingabe'!$B$7,1,1)+ROW()-4,"")</x:f>
        <x:v>45793</x:v>
      </x:c>
      <x:c r="B139" s="122" t="str">
        <x:f>IF(A139="","",IF(OR(AND(MONTH(A139)=12,DAY(A139)&gt;=20),AND(MONTH(A139)=1,DAY(A139)&lt;=2)),"Weihnachten",IF(OR(AND(MONTH(A139)=11,DAY(A139)&gt;=24),AND(MONTH(A139)=12,DAY(A139)&lt;=7)),"Betriebsferien",IF(OR(AND(MONTH(A139)=1,DAY(A139)&gt;=3),MONTH(A139)=2,MONTH(A139)=3,MONTH(A139)=4,MONTH(A139)=10,MONTH(A139)=11,AND(MONTH(A139)=12,DAY(A139)&lt;=15)),"Nebensaison","Hauptsaison"))))</x:f>
        <x:v>Hauptsaison</x:v>
      </x:c>
      <x:c r="C139" s="122" t="str">
        <x:f>IF(A139="","",IF(WEEKDAY(A139,2)&gt;=6,"Wochenende","Unterwoche"))</x:f>
        <x:v>Unterwoche</x:v>
      </x:c>
      <x:c r="D139" s="123" t="n">
        <x:f>IF(A139="","",IF(N139&lt;&gt;"",N139,IF(B139="Nebensaison",IF(C139="Wochenende",'00_Eingabe'!$C$24,'00_Eingabe'!$B$24),IF(B139="Hauptsaison",IF(C139="Wochenende",'00_Eingabe'!$C$25,'00_Eingabe'!$B$25),IF(B139="Weihnachten",IF(C139="Wochenende",'00_Eingabe'!$C$26,'00_Eingabe'!$B$26),IF(C139="Wochenende",'00_Eingabe'!$C$27,'00_Eingabe'!$B$27))))))</x:f>
        <x:v>0.85</x:v>
      </x:c>
      <x:c r="E139" s="122" t="n">
        <x:f>IF(OR(A139="",D139=""),"",ROUND('00_Eingabe'!$B$8*D139,0))</x:f>
        <x:v>30</x:v>
      </x:c>
      <x:c r="F139" s="122" t="n">
        <x:f>IF(E139="","",ROUND(E139*'00_Eingabe'!$B$18,0))</x:f>
        <x:v>57</x:v>
      </x:c>
      <x:c r="G139" s="123" t="n">
        <x:f>IF(A139="","",IF(O139&lt;&gt;"",O139,IF(B139="Nebensaison",IF(C139="Wochenende",'00_Eingabe'!$E$24,'00_Eingabe'!$D$24),IF(B139="Hauptsaison",IF(C139="Wochenende",'00_Eingabe'!$E$25,'00_Eingabe'!$D$25),IF(B139="Weihnachten",IF(C139="Wochenende",'00_Eingabe'!$E$26,'00_Eingabe'!$D$26),IF(C139="Wochenende",'00_Eingabe'!$E$27,'00_Eingabe'!$D$27))))))</x:f>
        <x:v>0.85</x:v>
      </x:c>
      <x:c r="H139" s="122" t="n">
        <x:f>IF(OR(A139="",G139=""),"",ROUND('00_Eingabe'!$B$9*G139,0))</x:f>
        <x:v>3</x:v>
      </x:c>
      <x:c r="I139" s="122" t="n">
        <x:f>IF(H139="","",ROUND(H139*'00_Eingabe'!$B$19,0))</x:f>
        <x:v>7</x:v>
      </x:c>
      <x:c r="J139" s="122" t="n">
        <x:f>IF(OR(F139="",I139=""),"",F139+I139)</x:f>
        <x:v>64</x:v>
      </x:c>
      <x:c r="K139" s="122" t="n">
        <x:f>IF(J139="","",ROUND(J139*'00_Eingabe'!$B$16*(1+'00_Eingabe'!$B$14),0))</x:f>
        <x:v>74</x:v>
      </x:c>
      <x:c r="L139" s="122" t="n">
        <x:f>IF(B139="Betriebsferien",0,ROUND(J139*'00_Eingabe'!$B$40,0)+IF(C139="Wochenende",'00_Eingabe'!$B$42,'00_Eingabe'!$B$41))</x:f>
        <x:v>63</x:v>
      </x:c>
      <x:c r="M139" s="123" t="n">
        <x:f>IF(J139="","",ROUND(J139*'00_Eingabe'!$B$17*(1+'00_Eingabe'!$B$15),0))</x:f>
        <x:v>74</x:v>
      </x:c>
      <x:c r="N139" s="106"/>
      <x:c r="O139" s="106"/>
      <x:c r="P139" s="116"/>
      <x:c r="Q139" s="213" t="n">
        <x:f>IF(C139="Wochenende",1,0)</x:f>
        <x:v>0</x:v>
      </x:c>
      <x:c r="R139" s="213" t="n">
        <x:f>IF(AND(B139&lt;&gt;"Betriebsferien",OR(WEEKDAY(A139,2)=2,WEEKDAY(A139,2)=4)),1,0)</x:f>
        <x:v>0</x:v>
      </x:c>
      <x:c r="S139" s="214" t="n">
        <x:f>R139*MIN(1,'00_Eingabe'!$B$62/'00_Eingabe'!$B$61)</x:f>
        <x:v>0</x:v>
      </x:c>
      <x:c r="T139" s="213" t="n">
        <x:f>IF(B139="Betriebsferien",0,IF(B139="Nebensaison",IF(OR(WEEKDAY(A139,2)=1,WEEKDAY(A139,2)=3,WEEKDAY(A139,2)=5),1,0),IF(C139="Unterwoche",1,0)))</x:f>
        <x:v>1</x:v>
      </x:c>
      <x:c r="U139" s="213" t="n">
        <x:f>IF(B139="Betriebsferien",0,'00_Eingabe'!$G$24)</x:f>
        <x:v>8</x:v>
      </x:c>
    </x:row>
    <x:row r="140">
      <x:c r="A140" s="121" t="n">
        <x:f>IF(ROW()-4&lt;DATE('00_Eingabe'!$B$7+1,1,1)-DATE('00_Eingabe'!$B$7,1,1),DATE('00_Eingabe'!$B$7,1,1)+ROW()-4,"")</x:f>
        <x:v>45794</x:v>
      </x:c>
      <x:c r="B140" s="122" t="str">
        <x:f>IF(A140="","",IF(OR(AND(MONTH(A140)=12,DAY(A140)&gt;=20),AND(MONTH(A140)=1,DAY(A140)&lt;=2)),"Weihnachten",IF(OR(AND(MONTH(A140)=11,DAY(A140)&gt;=24),AND(MONTH(A140)=12,DAY(A140)&lt;=7)),"Betriebsferien",IF(OR(AND(MONTH(A140)=1,DAY(A140)&gt;=3),MONTH(A140)=2,MONTH(A140)=3,MONTH(A140)=4,MONTH(A140)=10,MONTH(A140)=11,AND(MONTH(A140)=12,DAY(A140)&lt;=15)),"Nebensaison","Hauptsaison"))))</x:f>
        <x:v>Hauptsaison</x:v>
      </x:c>
      <x:c r="C140" s="122" t="str">
        <x:f>IF(A140="","",IF(WEEKDAY(A140,2)&gt;=6,"Wochenende","Unterwoche"))</x:f>
        <x:v>Wochenende</x:v>
      </x:c>
      <x:c r="D140" s="123" t="n">
        <x:f>IF(A140="","",IF(N140&lt;&gt;"",N140,IF(B140="Nebensaison",IF(C140="Wochenende",'00_Eingabe'!$C$24,'00_Eingabe'!$B$24),IF(B140="Hauptsaison",IF(C140="Wochenende",'00_Eingabe'!$C$25,'00_Eingabe'!$B$25),IF(B140="Weihnachten",IF(C140="Wochenende",'00_Eingabe'!$C$26,'00_Eingabe'!$B$26),IF(C140="Wochenende",'00_Eingabe'!$C$27,'00_Eingabe'!$B$27))))))</x:f>
        <x:v>0.9</x:v>
      </x:c>
      <x:c r="E140" s="122" t="n">
        <x:f>IF(OR(A140="",D140=""),"",ROUND('00_Eingabe'!$B$8*D140,0))</x:f>
        <x:v>32</x:v>
      </x:c>
      <x:c r="F140" s="122" t="n">
        <x:f>IF(E140="","",ROUND(E140*'00_Eingabe'!$B$18,0))</x:f>
        <x:v>61</x:v>
      </x:c>
      <x:c r="G140" s="123" t="n">
        <x:f>IF(A140="","",IF(O140&lt;&gt;"",O140,IF(B140="Nebensaison",IF(C140="Wochenende",'00_Eingabe'!$E$24,'00_Eingabe'!$D$24),IF(B140="Hauptsaison",IF(C140="Wochenende",'00_Eingabe'!$E$25,'00_Eingabe'!$D$25),IF(B140="Weihnachten",IF(C140="Wochenende",'00_Eingabe'!$E$26,'00_Eingabe'!$D$26),IF(C140="Wochenende",'00_Eingabe'!$E$27,'00_Eingabe'!$D$27))))))</x:f>
        <x:v>0.9</x:v>
      </x:c>
      <x:c r="H140" s="122" t="n">
        <x:f>IF(OR(A140="",G140=""),"",ROUND('00_Eingabe'!$B$9*G140,0))</x:f>
        <x:v>4</x:v>
      </x:c>
      <x:c r="I140" s="122" t="n">
        <x:f>IF(H140="","",ROUND(H140*'00_Eingabe'!$B$19,0))</x:f>
        <x:v>9</x:v>
      </x:c>
      <x:c r="J140" s="122" t="n">
        <x:f>IF(OR(F140="",I140=""),"",F140+I140)</x:f>
        <x:v>70</x:v>
      </x:c>
      <x:c r="K140" s="122" t="n">
        <x:f>IF(J140="","",ROUND(J140*'00_Eingabe'!$B$16*(1+'00_Eingabe'!$B$14),0))</x:f>
        <x:v>81</x:v>
      </x:c>
      <x:c r="L140" s="122" t="n">
        <x:f>IF(B140="Betriebsferien",0,ROUND(J140*'00_Eingabe'!$B$40,0)+IF(C140="Wochenende",'00_Eingabe'!$B$42,'00_Eingabe'!$B$41))</x:f>
        <x:v>93</x:v>
      </x:c>
      <x:c r="M140" s="123" t="n">
        <x:f>IF(J140="","",ROUND(J140*'00_Eingabe'!$B$17*(1+'00_Eingabe'!$B$15),0))</x:f>
        <x:v>81</x:v>
      </x:c>
      <x:c r="N140" s="106"/>
      <x:c r="O140" s="106"/>
      <x:c r="P140" s="116"/>
      <x:c r="Q140" s="213" t="n">
        <x:f>IF(C140="Wochenende",1,0)</x:f>
        <x:v>1</x:v>
      </x:c>
      <x:c r="R140" s="213" t="n">
        <x:f>IF(AND(B140&lt;&gt;"Betriebsferien",OR(WEEKDAY(A140,2)=2,WEEKDAY(A140,2)=4)),1,0)</x:f>
        <x:v>0</x:v>
      </x:c>
      <x:c r="S140" s="214" t="n">
        <x:f>R140*MIN(1,'00_Eingabe'!$B$62/'00_Eingabe'!$B$61)</x:f>
        <x:v>0</x:v>
      </x:c>
      <x:c r="T140" s="213" t="n">
        <x:f>IF(B140="Betriebsferien",0,IF(B140="Nebensaison",IF(OR(WEEKDAY(A140,2)=1,WEEKDAY(A140,2)=3,WEEKDAY(A140,2)=5),1,0),IF(C140="Unterwoche",1,0)))</x:f>
        <x:v>0</x:v>
      </x:c>
      <x:c r="U140" s="213" t="n">
        <x:f>IF(B140="Betriebsferien",0,'00_Eingabe'!$G$24)</x:f>
        <x:v>8</x:v>
      </x:c>
    </x:row>
    <x:row r="141">
      <x:c r="A141" s="121" t="n">
        <x:f>IF(ROW()-4&lt;DATE('00_Eingabe'!$B$7+1,1,1)-DATE('00_Eingabe'!$B$7,1,1),DATE('00_Eingabe'!$B$7,1,1)+ROW()-4,"")</x:f>
        <x:v>45795</x:v>
      </x:c>
      <x:c r="B141" s="122" t="str">
        <x:f>IF(A141="","",IF(OR(AND(MONTH(A141)=12,DAY(A141)&gt;=20),AND(MONTH(A141)=1,DAY(A141)&lt;=2)),"Weihnachten",IF(OR(AND(MONTH(A141)=11,DAY(A141)&gt;=24),AND(MONTH(A141)=12,DAY(A141)&lt;=7)),"Betriebsferien",IF(OR(AND(MONTH(A141)=1,DAY(A141)&gt;=3),MONTH(A141)=2,MONTH(A141)=3,MONTH(A141)=4,MONTH(A141)=10,MONTH(A141)=11,AND(MONTH(A141)=12,DAY(A141)&lt;=15)),"Nebensaison","Hauptsaison"))))</x:f>
        <x:v>Hauptsaison</x:v>
      </x:c>
      <x:c r="C141" s="122" t="str">
        <x:f>IF(A141="","",IF(WEEKDAY(A141,2)&gt;=6,"Wochenende","Unterwoche"))</x:f>
        <x:v>Wochenende</x:v>
      </x:c>
      <x:c r="D141" s="123" t="n">
        <x:f>IF(A141="","",IF(N141&lt;&gt;"",N141,IF(B141="Nebensaison",IF(C141="Wochenende",'00_Eingabe'!$C$24,'00_Eingabe'!$B$24),IF(B141="Hauptsaison",IF(C141="Wochenende",'00_Eingabe'!$C$25,'00_Eingabe'!$B$25),IF(B141="Weihnachten",IF(C141="Wochenende",'00_Eingabe'!$C$26,'00_Eingabe'!$B$26),IF(C141="Wochenende",'00_Eingabe'!$C$27,'00_Eingabe'!$B$27))))))</x:f>
        <x:v>0.9</x:v>
      </x:c>
      <x:c r="E141" s="122" t="n">
        <x:f>IF(OR(A141="",D141=""),"",ROUND('00_Eingabe'!$B$8*D141,0))</x:f>
        <x:v>32</x:v>
      </x:c>
      <x:c r="F141" s="122" t="n">
        <x:f>IF(E141="","",ROUND(E141*'00_Eingabe'!$B$18,0))</x:f>
        <x:v>61</x:v>
      </x:c>
      <x:c r="G141" s="123" t="n">
        <x:f>IF(A141="","",IF(O141&lt;&gt;"",O141,IF(B141="Nebensaison",IF(C141="Wochenende",'00_Eingabe'!$E$24,'00_Eingabe'!$D$24),IF(B141="Hauptsaison",IF(C141="Wochenende",'00_Eingabe'!$E$25,'00_Eingabe'!$D$25),IF(B141="Weihnachten",IF(C141="Wochenende",'00_Eingabe'!$E$26,'00_Eingabe'!$D$26),IF(C141="Wochenende",'00_Eingabe'!$E$27,'00_Eingabe'!$D$27))))))</x:f>
        <x:v>0.9</x:v>
      </x:c>
      <x:c r="H141" s="122" t="n">
        <x:f>IF(OR(A141="",G141=""),"",ROUND('00_Eingabe'!$B$9*G141,0))</x:f>
        <x:v>4</x:v>
      </x:c>
      <x:c r="I141" s="122" t="n">
        <x:f>IF(H141="","",ROUND(H141*'00_Eingabe'!$B$19,0))</x:f>
        <x:v>9</x:v>
      </x:c>
      <x:c r="J141" s="122" t="n">
        <x:f>IF(OR(F141="",I141=""),"",F141+I141)</x:f>
        <x:v>70</x:v>
      </x:c>
      <x:c r="K141" s="122" t="n">
        <x:f>IF(J141="","",ROUND(J141*'00_Eingabe'!$B$16*(1+'00_Eingabe'!$B$14),0))</x:f>
        <x:v>81</x:v>
      </x:c>
      <x:c r="L141" s="122" t="n">
        <x:f>IF(B141="Betriebsferien",0,ROUND(J141*'00_Eingabe'!$B$40,0)+IF(C141="Wochenende",'00_Eingabe'!$B$42,'00_Eingabe'!$B$41))</x:f>
        <x:v>93</x:v>
      </x:c>
      <x:c r="M141" s="123" t="n">
        <x:f>IF(J141="","",ROUND(J141*'00_Eingabe'!$B$17*(1+'00_Eingabe'!$B$15),0))</x:f>
        <x:v>81</x:v>
      </x:c>
      <x:c r="N141" s="106"/>
      <x:c r="O141" s="106"/>
      <x:c r="P141" s="116"/>
      <x:c r="Q141" s="213" t="n">
        <x:f>IF(C141="Wochenende",1,0)</x:f>
        <x:v>1</x:v>
      </x:c>
      <x:c r="R141" s="213" t="n">
        <x:f>IF(AND(B141&lt;&gt;"Betriebsferien",OR(WEEKDAY(A141,2)=2,WEEKDAY(A141,2)=4)),1,0)</x:f>
        <x:v>0</x:v>
      </x:c>
      <x:c r="S141" s="214" t="n">
        <x:f>R141*MIN(1,'00_Eingabe'!$B$62/'00_Eingabe'!$B$61)</x:f>
        <x:v>0</x:v>
      </x:c>
      <x:c r="T141" s="213" t="n">
        <x:f>IF(B141="Betriebsferien",0,IF(B141="Nebensaison",IF(OR(WEEKDAY(A141,2)=1,WEEKDAY(A141,2)=3,WEEKDAY(A141,2)=5),1,0),IF(C141="Unterwoche",1,0)))</x:f>
        <x:v>0</x:v>
      </x:c>
      <x:c r="U141" s="213" t="n">
        <x:f>IF(B141="Betriebsferien",0,'00_Eingabe'!$G$24)</x:f>
        <x:v>8</x:v>
      </x:c>
    </x:row>
    <x:row r="142">
      <x:c r="A142" s="121" t="n">
        <x:f>IF(ROW()-4&lt;DATE('00_Eingabe'!$B$7+1,1,1)-DATE('00_Eingabe'!$B$7,1,1),DATE('00_Eingabe'!$B$7,1,1)+ROW()-4,"")</x:f>
        <x:v>45796</x:v>
      </x:c>
      <x:c r="B142" s="122" t="str">
        <x:f>IF(A142="","",IF(OR(AND(MONTH(A142)=12,DAY(A142)&gt;=20),AND(MONTH(A142)=1,DAY(A142)&lt;=2)),"Weihnachten",IF(OR(AND(MONTH(A142)=11,DAY(A142)&gt;=24),AND(MONTH(A142)=12,DAY(A142)&lt;=7)),"Betriebsferien",IF(OR(AND(MONTH(A142)=1,DAY(A142)&gt;=3),MONTH(A142)=2,MONTH(A142)=3,MONTH(A142)=4,MONTH(A142)=10,MONTH(A142)=11,AND(MONTH(A142)=12,DAY(A142)&lt;=15)),"Nebensaison","Hauptsaison"))))</x:f>
        <x:v>Hauptsaison</x:v>
      </x:c>
      <x:c r="C142" s="122" t="str">
        <x:f>IF(A142="","",IF(WEEKDAY(A142,2)&gt;=6,"Wochenende","Unterwoche"))</x:f>
        <x:v>Unterwoche</x:v>
      </x:c>
      <x:c r="D142" s="123" t="n">
        <x:f>IF(A142="","",IF(N142&lt;&gt;"",N142,IF(B142="Nebensaison",IF(C142="Wochenende",'00_Eingabe'!$C$24,'00_Eingabe'!$B$24),IF(B142="Hauptsaison",IF(C142="Wochenende",'00_Eingabe'!$C$25,'00_Eingabe'!$B$25),IF(B142="Weihnachten",IF(C142="Wochenende",'00_Eingabe'!$C$26,'00_Eingabe'!$B$26),IF(C142="Wochenende",'00_Eingabe'!$C$27,'00_Eingabe'!$B$27))))))</x:f>
        <x:v>0.85</x:v>
      </x:c>
      <x:c r="E142" s="122" t="n">
        <x:f>IF(OR(A142="",D142=""),"",ROUND('00_Eingabe'!$B$8*D142,0))</x:f>
        <x:v>30</x:v>
      </x:c>
      <x:c r="F142" s="122" t="n">
        <x:f>IF(E142="","",ROUND(E142*'00_Eingabe'!$B$18,0))</x:f>
        <x:v>57</x:v>
      </x:c>
      <x:c r="G142" s="123" t="n">
        <x:f>IF(A142="","",IF(O142&lt;&gt;"",O142,IF(B142="Nebensaison",IF(C142="Wochenende",'00_Eingabe'!$E$24,'00_Eingabe'!$D$24),IF(B142="Hauptsaison",IF(C142="Wochenende",'00_Eingabe'!$E$25,'00_Eingabe'!$D$25),IF(B142="Weihnachten",IF(C142="Wochenende",'00_Eingabe'!$E$26,'00_Eingabe'!$D$26),IF(C142="Wochenende",'00_Eingabe'!$E$27,'00_Eingabe'!$D$27))))))</x:f>
        <x:v>0.85</x:v>
      </x:c>
      <x:c r="H142" s="122" t="n">
        <x:f>IF(OR(A142="",G142=""),"",ROUND('00_Eingabe'!$B$9*G142,0))</x:f>
        <x:v>3</x:v>
      </x:c>
      <x:c r="I142" s="122" t="n">
        <x:f>IF(H142="","",ROUND(H142*'00_Eingabe'!$B$19,0))</x:f>
        <x:v>7</x:v>
      </x:c>
      <x:c r="J142" s="122" t="n">
        <x:f>IF(OR(F142="",I142=""),"",F142+I142)</x:f>
        <x:v>64</x:v>
      </x:c>
      <x:c r="K142" s="122" t="n">
        <x:f>IF(J142="","",ROUND(J142*'00_Eingabe'!$B$16*(1+'00_Eingabe'!$B$14),0))</x:f>
        <x:v>74</x:v>
      </x:c>
      <x:c r="L142" s="122" t="n">
        <x:f>IF(B142="Betriebsferien",0,ROUND(J142*'00_Eingabe'!$B$40,0)+IF(C142="Wochenende",'00_Eingabe'!$B$42,'00_Eingabe'!$B$41))</x:f>
        <x:v>63</x:v>
      </x:c>
      <x:c r="M142" s="123" t="n">
        <x:f>IF(J142="","",ROUND(J142*'00_Eingabe'!$B$17*(1+'00_Eingabe'!$B$15),0))</x:f>
        <x:v>74</x:v>
      </x:c>
      <x:c r="N142" s="106"/>
      <x:c r="O142" s="106"/>
      <x:c r="P142" s="116"/>
      <x:c r="Q142" s="213" t="n">
        <x:f>IF(C142="Wochenende",1,0)</x:f>
        <x:v>0</x:v>
      </x:c>
      <x:c r="R142" s="213" t="n">
        <x:f>IF(AND(B142&lt;&gt;"Betriebsferien",OR(WEEKDAY(A142,2)=2,WEEKDAY(A142,2)=4)),1,0)</x:f>
        <x:v>0</x:v>
      </x:c>
      <x:c r="S142" s="214" t="n">
        <x:f>R142*MIN(1,'00_Eingabe'!$B$62/'00_Eingabe'!$B$61)</x:f>
        <x:v>0</x:v>
      </x:c>
      <x:c r="T142" s="213" t="n">
        <x:f>IF(B142="Betriebsferien",0,IF(B142="Nebensaison",IF(OR(WEEKDAY(A142,2)=1,WEEKDAY(A142,2)=3,WEEKDAY(A142,2)=5),1,0),IF(C142="Unterwoche",1,0)))</x:f>
        <x:v>1</x:v>
      </x:c>
      <x:c r="U142" s="213" t="n">
        <x:f>IF(B142="Betriebsferien",0,'00_Eingabe'!$G$24)</x:f>
        <x:v>8</x:v>
      </x:c>
    </x:row>
    <x:row r="143">
      <x:c r="A143" s="121" t="n">
        <x:f>IF(ROW()-4&lt;DATE('00_Eingabe'!$B$7+1,1,1)-DATE('00_Eingabe'!$B$7,1,1),DATE('00_Eingabe'!$B$7,1,1)+ROW()-4,"")</x:f>
        <x:v>45797</x:v>
      </x:c>
      <x:c r="B143" s="122" t="str">
        <x:f>IF(A143="","",IF(OR(AND(MONTH(A143)=12,DAY(A143)&gt;=20),AND(MONTH(A143)=1,DAY(A143)&lt;=2)),"Weihnachten",IF(OR(AND(MONTH(A143)=11,DAY(A143)&gt;=24),AND(MONTH(A143)=12,DAY(A143)&lt;=7)),"Betriebsferien",IF(OR(AND(MONTH(A143)=1,DAY(A143)&gt;=3),MONTH(A143)=2,MONTH(A143)=3,MONTH(A143)=4,MONTH(A143)=10,MONTH(A143)=11,AND(MONTH(A143)=12,DAY(A143)&lt;=15)),"Nebensaison","Hauptsaison"))))</x:f>
        <x:v>Hauptsaison</x:v>
      </x:c>
      <x:c r="C143" s="122" t="str">
        <x:f>IF(A143="","",IF(WEEKDAY(A143,2)&gt;=6,"Wochenende","Unterwoche"))</x:f>
        <x:v>Unterwoche</x:v>
      </x:c>
      <x:c r="D143" s="123" t="n">
        <x:f>IF(A143="","",IF(N143&lt;&gt;"",N143,IF(B143="Nebensaison",IF(C143="Wochenende",'00_Eingabe'!$C$24,'00_Eingabe'!$B$24),IF(B143="Hauptsaison",IF(C143="Wochenende",'00_Eingabe'!$C$25,'00_Eingabe'!$B$25),IF(B143="Weihnachten",IF(C143="Wochenende",'00_Eingabe'!$C$26,'00_Eingabe'!$B$26),IF(C143="Wochenende",'00_Eingabe'!$C$27,'00_Eingabe'!$B$27))))))</x:f>
        <x:v>0.85</x:v>
      </x:c>
      <x:c r="E143" s="122" t="n">
        <x:f>IF(OR(A143="",D143=""),"",ROUND('00_Eingabe'!$B$8*D143,0))</x:f>
        <x:v>30</x:v>
      </x:c>
      <x:c r="F143" s="122" t="n">
        <x:f>IF(E143="","",ROUND(E143*'00_Eingabe'!$B$18,0))</x:f>
        <x:v>57</x:v>
      </x:c>
      <x:c r="G143" s="123" t="n">
        <x:f>IF(A143="","",IF(O143&lt;&gt;"",O143,IF(B143="Nebensaison",IF(C143="Wochenende",'00_Eingabe'!$E$24,'00_Eingabe'!$D$24),IF(B143="Hauptsaison",IF(C143="Wochenende",'00_Eingabe'!$E$25,'00_Eingabe'!$D$25),IF(B143="Weihnachten",IF(C143="Wochenende",'00_Eingabe'!$E$26,'00_Eingabe'!$D$26),IF(C143="Wochenende",'00_Eingabe'!$E$27,'00_Eingabe'!$D$27))))))</x:f>
        <x:v>0.85</x:v>
      </x:c>
      <x:c r="H143" s="122" t="n">
        <x:f>IF(OR(A143="",G143=""),"",ROUND('00_Eingabe'!$B$9*G143,0))</x:f>
        <x:v>3</x:v>
      </x:c>
      <x:c r="I143" s="122" t="n">
        <x:f>IF(H143="","",ROUND(H143*'00_Eingabe'!$B$19,0))</x:f>
        <x:v>7</x:v>
      </x:c>
      <x:c r="J143" s="122" t="n">
        <x:f>IF(OR(F143="",I143=""),"",F143+I143)</x:f>
        <x:v>64</x:v>
      </x:c>
      <x:c r="K143" s="122" t="n">
        <x:f>IF(J143="","",ROUND(J143*'00_Eingabe'!$B$16*(1+'00_Eingabe'!$B$14),0))</x:f>
        <x:v>74</x:v>
      </x:c>
      <x:c r="L143" s="122" t="n">
        <x:f>IF(B143="Betriebsferien",0,ROUND(J143*'00_Eingabe'!$B$40,0)+IF(C143="Wochenende",'00_Eingabe'!$B$42,'00_Eingabe'!$B$41))</x:f>
        <x:v>63</x:v>
      </x:c>
      <x:c r="M143" s="123" t="n">
        <x:f>IF(J143="","",ROUND(J143*'00_Eingabe'!$B$17*(1+'00_Eingabe'!$B$15),0))</x:f>
        <x:v>74</x:v>
      </x:c>
      <x:c r="N143" s="106"/>
      <x:c r="O143" s="106"/>
      <x:c r="P143" s="116"/>
      <x:c r="Q143" s="213" t="n">
        <x:f>IF(C143="Wochenende",1,0)</x:f>
        <x:v>0</x:v>
      </x:c>
      <x:c r="R143" s="213" t="n">
        <x:f>IF(AND(B143&lt;&gt;"Betriebsferien",OR(WEEKDAY(A143,2)=2,WEEKDAY(A143,2)=4)),1,0)</x:f>
        <x:v>1</x:v>
      </x:c>
      <x:c r="S143" s="214" t="n">
        <x:f>R143*MIN(1,'00_Eingabe'!$B$62/'00_Eingabe'!$B$61)</x:f>
        <x:v>0.5</x:v>
      </x:c>
      <x:c r="T143" s="213" t="n">
        <x:f>IF(B143="Betriebsferien",0,IF(B143="Nebensaison",IF(OR(WEEKDAY(A143,2)=1,WEEKDAY(A143,2)=3,WEEKDAY(A143,2)=5),1,0),IF(C143="Unterwoche",1,0)))</x:f>
        <x:v>1</x:v>
      </x:c>
      <x:c r="U143" s="213" t="n">
        <x:f>IF(B143="Betriebsferien",0,'00_Eingabe'!$G$24)</x:f>
        <x:v>8</x:v>
      </x:c>
    </x:row>
    <x:row r="144">
      <x:c r="A144" s="121" t="n">
        <x:f>IF(ROW()-4&lt;DATE('00_Eingabe'!$B$7+1,1,1)-DATE('00_Eingabe'!$B$7,1,1),DATE('00_Eingabe'!$B$7,1,1)+ROW()-4,"")</x:f>
        <x:v>45798</x:v>
      </x:c>
      <x:c r="B144" s="122" t="str">
        <x:f>IF(A144="","",IF(OR(AND(MONTH(A144)=12,DAY(A144)&gt;=20),AND(MONTH(A144)=1,DAY(A144)&lt;=2)),"Weihnachten",IF(OR(AND(MONTH(A144)=11,DAY(A144)&gt;=24),AND(MONTH(A144)=12,DAY(A144)&lt;=7)),"Betriebsferien",IF(OR(AND(MONTH(A144)=1,DAY(A144)&gt;=3),MONTH(A144)=2,MONTH(A144)=3,MONTH(A144)=4,MONTH(A144)=10,MONTH(A144)=11,AND(MONTH(A144)=12,DAY(A144)&lt;=15)),"Nebensaison","Hauptsaison"))))</x:f>
        <x:v>Hauptsaison</x:v>
      </x:c>
      <x:c r="C144" s="122" t="str">
        <x:f>IF(A144="","",IF(WEEKDAY(A144,2)&gt;=6,"Wochenende","Unterwoche"))</x:f>
        <x:v>Unterwoche</x:v>
      </x:c>
      <x:c r="D144" s="123" t="n">
        <x:f>IF(A144="","",IF(N144&lt;&gt;"",N144,IF(B144="Nebensaison",IF(C144="Wochenende",'00_Eingabe'!$C$24,'00_Eingabe'!$B$24),IF(B144="Hauptsaison",IF(C144="Wochenende",'00_Eingabe'!$C$25,'00_Eingabe'!$B$25),IF(B144="Weihnachten",IF(C144="Wochenende",'00_Eingabe'!$C$26,'00_Eingabe'!$B$26),IF(C144="Wochenende",'00_Eingabe'!$C$27,'00_Eingabe'!$B$27))))))</x:f>
        <x:v>0.85</x:v>
      </x:c>
      <x:c r="E144" s="122" t="n">
        <x:f>IF(OR(A144="",D144=""),"",ROUND('00_Eingabe'!$B$8*D144,0))</x:f>
        <x:v>30</x:v>
      </x:c>
      <x:c r="F144" s="122" t="n">
        <x:f>IF(E144="","",ROUND(E144*'00_Eingabe'!$B$18,0))</x:f>
        <x:v>57</x:v>
      </x:c>
      <x:c r="G144" s="123" t="n">
        <x:f>IF(A144="","",IF(O144&lt;&gt;"",O144,IF(B144="Nebensaison",IF(C144="Wochenende",'00_Eingabe'!$E$24,'00_Eingabe'!$D$24),IF(B144="Hauptsaison",IF(C144="Wochenende",'00_Eingabe'!$E$25,'00_Eingabe'!$D$25),IF(B144="Weihnachten",IF(C144="Wochenende",'00_Eingabe'!$E$26,'00_Eingabe'!$D$26),IF(C144="Wochenende",'00_Eingabe'!$E$27,'00_Eingabe'!$D$27))))))</x:f>
        <x:v>0.85</x:v>
      </x:c>
      <x:c r="H144" s="122" t="n">
        <x:f>IF(OR(A144="",G144=""),"",ROUND('00_Eingabe'!$B$9*G144,0))</x:f>
        <x:v>3</x:v>
      </x:c>
      <x:c r="I144" s="122" t="n">
        <x:f>IF(H144="","",ROUND(H144*'00_Eingabe'!$B$19,0))</x:f>
        <x:v>7</x:v>
      </x:c>
      <x:c r="J144" s="122" t="n">
        <x:f>IF(OR(F144="",I144=""),"",F144+I144)</x:f>
        <x:v>64</x:v>
      </x:c>
      <x:c r="K144" s="122" t="n">
        <x:f>IF(J144="","",ROUND(J144*'00_Eingabe'!$B$16*(1+'00_Eingabe'!$B$14),0))</x:f>
        <x:v>74</x:v>
      </x:c>
      <x:c r="L144" s="122" t="n">
        <x:f>IF(B144="Betriebsferien",0,ROUND(J144*'00_Eingabe'!$B$40,0)+IF(C144="Wochenende",'00_Eingabe'!$B$42,'00_Eingabe'!$B$41))</x:f>
        <x:v>63</x:v>
      </x:c>
      <x:c r="M144" s="123" t="n">
        <x:f>IF(J144="","",ROUND(J144*'00_Eingabe'!$B$17*(1+'00_Eingabe'!$B$15),0))</x:f>
        <x:v>74</x:v>
      </x:c>
      <x:c r="N144" s="106"/>
      <x:c r="O144" s="106"/>
      <x:c r="P144" s="116"/>
      <x:c r="Q144" s="213" t="n">
        <x:f>IF(C144="Wochenende",1,0)</x:f>
        <x:v>0</x:v>
      </x:c>
      <x:c r="R144" s="213" t="n">
        <x:f>IF(AND(B144&lt;&gt;"Betriebsferien",OR(WEEKDAY(A144,2)=2,WEEKDAY(A144,2)=4)),1,0)</x:f>
        <x:v>0</x:v>
      </x:c>
      <x:c r="S144" s="214" t="n">
        <x:f>R144*MIN(1,'00_Eingabe'!$B$62/'00_Eingabe'!$B$61)</x:f>
        <x:v>0</x:v>
      </x:c>
      <x:c r="T144" s="213" t="n">
        <x:f>IF(B144="Betriebsferien",0,IF(B144="Nebensaison",IF(OR(WEEKDAY(A144,2)=1,WEEKDAY(A144,2)=3,WEEKDAY(A144,2)=5),1,0),IF(C144="Unterwoche",1,0)))</x:f>
        <x:v>1</x:v>
      </x:c>
      <x:c r="U144" s="213" t="n">
        <x:f>IF(B144="Betriebsferien",0,'00_Eingabe'!$G$24)</x:f>
        <x:v>8</x:v>
      </x:c>
    </x:row>
    <x:row r="145">
      <x:c r="A145" s="121" t="n">
        <x:f>IF(ROW()-4&lt;DATE('00_Eingabe'!$B$7+1,1,1)-DATE('00_Eingabe'!$B$7,1,1),DATE('00_Eingabe'!$B$7,1,1)+ROW()-4,"")</x:f>
        <x:v>45799</x:v>
      </x:c>
      <x:c r="B145" s="122" t="str">
        <x:f>IF(A145="","",IF(OR(AND(MONTH(A145)=12,DAY(A145)&gt;=20),AND(MONTH(A145)=1,DAY(A145)&lt;=2)),"Weihnachten",IF(OR(AND(MONTH(A145)=11,DAY(A145)&gt;=24),AND(MONTH(A145)=12,DAY(A145)&lt;=7)),"Betriebsferien",IF(OR(AND(MONTH(A145)=1,DAY(A145)&gt;=3),MONTH(A145)=2,MONTH(A145)=3,MONTH(A145)=4,MONTH(A145)=10,MONTH(A145)=11,AND(MONTH(A145)=12,DAY(A145)&lt;=15)),"Nebensaison","Hauptsaison"))))</x:f>
        <x:v>Hauptsaison</x:v>
      </x:c>
      <x:c r="C145" s="122" t="str">
        <x:f>IF(A145="","",IF(WEEKDAY(A145,2)&gt;=6,"Wochenende","Unterwoche"))</x:f>
        <x:v>Unterwoche</x:v>
      </x:c>
      <x:c r="D145" s="123" t="n">
        <x:f>IF(A145="","",IF(N145&lt;&gt;"",N145,IF(B145="Nebensaison",IF(C145="Wochenende",'00_Eingabe'!$C$24,'00_Eingabe'!$B$24),IF(B145="Hauptsaison",IF(C145="Wochenende",'00_Eingabe'!$C$25,'00_Eingabe'!$B$25),IF(B145="Weihnachten",IF(C145="Wochenende",'00_Eingabe'!$C$26,'00_Eingabe'!$B$26),IF(C145="Wochenende",'00_Eingabe'!$C$27,'00_Eingabe'!$B$27))))))</x:f>
        <x:v>0.85</x:v>
      </x:c>
      <x:c r="E145" s="122" t="n">
        <x:f>IF(OR(A145="",D145=""),"",ROUND('00_Eingabe'!$B$8*D145,0))</x:f>
        <x:v>30</x:v>
      </x:c>
      <x:c r="F145" s="122" t="n">
        <x:f>IF(E145="","",ROUND(E145*'00_Eingabe'!$B$18,0))</x:f>
        <x:v>57</x:v>
      </x:c>
      <x:c r="G145" s="123" t="n">
        <x:f>IF(A145="","",IF(O145&lt;&gt;"",O145,IF(B145="Nebensaison",IF(C145="Wochenende",'00_Eingabe'!$E$24,'00_Eingabe'!$D$24),IF(B145="Hauptsaison",IF(C145="Wochenende",'00_Eingabe'!$E$25,'00_Eingabe'!$D$25),IF(B145="Weihnachten",IF(C145="Wochenende",'00_Eingabe'!$E$26,'00_Eingabe'!$D$26),IF(C145="Wochenende",'00_Eingabe'!$E$27,'00_Eingabe'!$D$27))))))</x:f>
        <x:v>0.85</x:v>
      </x:c>
      <x:c r="H145" s="122" t="n">
        <x:f>IF(OR(A145="",G145=""),"",ROUND('00_Eingabe'!$B$9*G145,0))</x:f>
        <x:v>3</x:v>
      </x:c>
      <x:c r="I145" s="122" t="n">
        <x:f>IF(H145="","",ROUND(H145*'00_Eingabe'!$B$19,0))</x:f>
        <x:v>7</x:v>
      </x:c>
      <x:c r="J145" s="122" t="n">
        <x:f>IF(OR(F145="",I145=""),"",F145+I145)</x:f>
        <x:v>64</x:v>
      </x:c>
      <x:c r="K145" s="122" t="n">
        <x:f>IF(J145="","",ROUND(J145*'00_Eingabe'!$B$16*(1+'00_Eingabe'!$B$14),0))</x:f>
        <x:v>74</x:v>
      </x:c>
      <x:c r="L145" s="122" t="n">
        <x:f>IF(B145="Betriebsferien",0,ROUND(J145*'00_Eingabe'!$B$40,0)+IF(C145="Wochenende",'00_Eingabe'!$B$42,'00_Eingabe'!$B$41))</x:f>
        <x:v>63</x:v>
      </x:c>
      <x:c r="M145" s="123" t="n">
        <x:f>IF(J145="","",ROUND(J145*'00_Eingabe'!$B$17*(1+'00_Eingabe'!$B$15),0))</x:f>
        <x:v>74</x:v>
      </x:c>
      <x:c r="N145" s="106"/>
      <x:c r="O145" s="106"/>
      <x:c r="P145" s="116"/>
      <x:c r="Q145" s="213" t="n">
        <x:f>IF(C145="Wochenende",1,0)</x:f>
        <x:v>0</x:v>
      </x:c>
      <x:c r="R145" s="213" t="n">
        <x:f>IF(AND(B145&lt;&gt;"Betriebsferien",OR(WEEKDAY(A145,2)=2,WEEKDAY(A145,2)=4)),1,0)</x:f>
        <x:v>1</x:v>
      </x:c>
      <x:c r="S145" s="214" t="n">
        <x:f>R145*MIN(1,'00_Eingabe'!$B$62/'00_Eingabe'!$B$61)</x:f>
        <x:v>0.5</x:v>
      </x:c>
      <x:c r="T145" s="213" t="n">
        <x:f>IF(B145="Betriebsferien",0,IF(B145="Nebensaison",IF(OR(WEEKDAY(A145,2)=1,WEEKDAY(A145,2)=3,WEEKDAY(A145,2)=5),1,0),IF(C145="Unterwoche",1,0)))</x:f>
        <x:v>1</x:v>
      </x:c>
      <x:c r="U145" s="213" t="n">
        <x:f>IF(B145="Betriebsferien",0,'00_Eingabe'!$G$24)</x:f>
        <x:v>8</x:v>
      </x:c>
    </x:row>
    <x:row r="146">
      <x:c r="A146" s="121" t="n">
        <x:f>IF(ROW()-4&lt;DATE('00_Eingabe'!$B$7+1,1,1)-DATE('00_Eingabe'!$B$7,1,1),DATE('00_Eingabe'!$B$7,1,1)+ROW()-4,"")</x:f>
        <x:v>45800</x:v>
      </x:c>
      <x:c r="B146" s="122" t="str">
        <x:f>IF(A146="","",IF(OR(AND(MONTH(A146)=12,DAY(A146)&gt;=20),AND(MONTH(A146)=1,DAY(A146)&lt;=2)),"Weihnachten",IF(OR(AND(MONTH(A146)=11,DAY(A146)&gt;=24),AND(MONTH(A146)=12,DAY(A146)&lt;=7)),"Betriebsferien",IF(OR(AND(MONTH(A146)=1,DAY(A146)&gt;=3),MONTH(A146)=2,MONTH(A146)=3,MONTH(A146)=4,MONTH(A146)=10,MONTH(A146)=11,AND(MONTH(A146)=12,DAY(A146)&lt;=15)),"Nebensaison","Hauptsaison"))))</x:f>
        <x:v>Hauptsaison</x:v>
      </x:c>
      <x:c r="C146" s="122" t="str">
        <x:f>IF(A146="","",IF(WEEKDAY(A146,2)&gt;=6,"Wochenende","Unterwoche"))</x:f>
        <x:v>Unterwoche</x:v>
      </x:c>
      <x:c r="D146" s="123" t="n">
        <x:f>IF(A146="","",IF(N146&lt;&gt;"",N146,IF(B146="Nebensaison",IF(C146="Wochenende",'00_Eingabe'!$C$24,'00_Eingabe'!$B$24),IF(B146="Hauptsaison",IF(C146="Wochenende",'00_Eingabe'!$C$25,'00_Eingabe'!$B$25),IF(B146="Weihnachten",IF(C146="Wochenende",'00_Eingabe'!$C$26,'00_Eingabe'!$B$26),IF(C146="Wochenende",'00_Eingabe'!$C$27,'00_Eingabe'!$B$27))))))</x:f>
        <x:v>0.85</x:v>
      </x:c>
      <x:c r="E146" s="122" t="n">
        <x:f>IF(OR(A146="",D146=""),"",ROUND('00_Eingabe'!$B$8*D146,0))</x:f>
        <x:v>30</x:v>
      </x:c>
      <x:c r="F146" s="122" t="n">
        <x:f>IF(E146="","",ROUND(E146*'00_Eingabe'!$B$18,0))</x:f>
        <x:v>57</x:v>
      </x:c>
      <x:c r="G146" s="123" t="n">
        <x:f>IF(A146="","",IF(O146&lt;&gt;"",O146,IF(B146="Nebensaison",IF(C146="Wochenende",'00_Eingabe'!$E$24,'00_Eingabe'!$D$24),IF(B146="Hauptsaison",IF(C146="Wochenende",'00_Eingabe'!$E$25,'00_Eingabe'!$D$25),IF(B146="Weihnachten",IF(C146="Wochenende",'00_Eingabe'!$E$26,'00_Eingabe'!$D$26),IF(C146="Wochenende",'00_Eingabe'!$E$27,'00_Eingabe'!$D$27))))))</x:f>
        <x:v>0.85</x:v>
      </x:c>
      <x:c r="H146" s="122" t="n">
        <x:f>IF(OR(A146="",G146=""),"",ROUND('00_Eingabe'!$B$9*G146,0))</x:f>
        <x:v>3</x:v>
      </x:c>
      <x:c r="I146" s="122" t="n">
        <x:f>IF(H146="","",ROUND(H146*'00_Eingabe'!$B$19,0))</x:f>
        <x:v>7</x:v>
      </x:c>
      <x:c r="J146" s="122" t="n">
        <x:f>IF(OR(F146="",I146=""),"",F146+I146)</x:f>
        <x:v>64</x:v>
      </x:c>
      <x:c r="K146" s="122" t="n">
        <x:f>IF(J146="","",ROUND(J146*'00_Eingabe'!$B$16*(1+'00_Eingabe'!$B$14),0))</x:f>
        <x:v>74</x:v>
      </x:c>
      <x:c r="L146" s="122" t="n">
        <x:f>IF(B146="Betriebsferien",0,ROUND(J146*'00_Eingabe'!$B$40,0)+IF(C146="Wochenende",'00_Eingabe'!$B$42,'00_Eingabe'!$B$41))</x:f>
        <x:v>63</x:v>
      </x:c>
      <x:c r="M146" s="123" t="n">
        <x:f>IF(J146="","",ROUND(J146*'00_Eingabe'!$B$17*(1+'00_Eingabe'!$B$15),0))</x:f>
        <x:v>74</x:v>
      </x:c>
      <x:c r="N146" s="106"/>
      <x:c r="O146" s="106"/>
      <x:c r="P146" s="116"/>
      <x:c r="Q146" s="213" t="n">
        <x:f>IF(C146="Wochenende",1,0)</x:f>
        <x:v>0</x:v>
      </x:c>
      <x:c r="R146" s="213" t="n">
        <x:f>IF(AND(B146&lt;&gt;"Betriebsferien",OR(WEEKDAY(A146,2)=2,WEEKDAY(A146,2)=4)),1,0)</x:f>
        <x:v>0</x:v>
      </x:c>
      <x:c r="S146" s="214" t="n">
        <x:f>R146*MIN(1,'00_Eingabe'!$B$62/'00_Eingabe'!$B$61)</x:f>
        <x:v>0</x:v>
      </x:c>
      <x:c r="T146" s="213" t="n">
        <x:f>IF(B146="Betriebsferien",0,IF(B146="Nebensaison",IF(OR(WEEKDAY(A146,2)=1,WEEKDAY(A146,2)=3,WEEKDAY(A146,2)=5),1,0),IF(C146="Unterwoche",1,0)))</x:f>
        <x:v>1</x:v>
      </x:c>
      <x:c r="U146" s="213" t="n">
        <x:f>IF(B146="Betriebsferien",0,'00_Eingabe'!$G$24)</x:f>
        <x:v>8</x:v>
      </x:c>
    </x:row>
    <x:row r="147">
      <x:c r="A147" s="121" t="n">
        <x:f>IF(ROW()-4&lt;DATE('00_Eingabe'!$B$7+1,1,1)-DATE('00_Eingabe'!$B$7,1,1),DATE('00_Eingabe'!$B$7,1,1)+ROW()-4,"")</x:f>
        <x:v>45801</x:v>
      </x:c>
      <x:c r="B147" s="122" t="str">
        <x:f>IF(A147="","",IF(OR(AND(MONTH(A147)=12,DAY(A147)&gt;=20),AND(MONTH(A147)=1,DAY(A147)&lt;=2)),"Weihnachten",IF(OR(AND(MONTH(A147)=11,DAY(A147)&gt;=24),AND(MONTH(A147)=12,DAY(A147)&lt;=7)),"Betriebsferien",IF(OR(AND(MONTH(A147)=1,DAY(A147)&gt;=3),MONTH(A147)=2,MONTH(A147)=3,MONTH(A147)=4,MONTH(A147)=10,MONTH(A147)=11,AND(MONTH(A147)=12,DAY(A147)&lt;=15)),"Nebensaison","Hauptsaison"))))</x:f>
        <x:v>Hauptsaison</x:v>
      </x:c>
      <x:c r="C147" s="122" t="str">
        <x:f>IF(A147="","",IF(WEEKDAY(A147,2)&gt;=6,"Wochenende","Unterwoche"))</x:f>
        <x:v>Wochenende</x:v>
      </x:c>
      <x:c r="D147" s="123" t="n">
        <x:f>IF(A147="","",IF(N147&lt;&gt;"",N147,IF(B147="Nebensaison",IF(C147="Wochenende",'00_Eingabe'!$C$24,'00_Eingabe'!$B$24),IF(B147="Hauptsaison",IF(C147="Wochenende",'00_Eingabe'!$C$25,'00_Eingabe'!$B$25),IF(B147="Weihnachten",IF(C147="Wochenende",'00_Eingabe'!$C$26,'00_Eingabe'!$B$26),IF(C147="Wochenende",'00_Eingabe'!$C$27,'00_Eingabe'!$B$27))))))</x:f>
        <x:v>0.9</x:v>
      </x:c>
      <x:c r="E147" s="122" t="n">
        <x:f>IF(OR(A147="",D147=""),"",ROUND('00_Eingabe'!$B$8*D147,0))</x:f>
        <x:v>32</x:v>
      </x:c>
      <x:c r="F147" s="122" t="n">
        <x:f>IF(E147="","",ROUND(E147*'00_Eingabe'!$B$18,0))</x:f>
        <x:v>61</x:v>
      </x:c>
      <x:c r="G147" s="123" t="n">
        <x:f>IF(A147="","",IF(O147&lt;&gt;"",O147,IF(B147="Nebensaison",IF(C147="Wochenende",'00_Eingabe'!$E$24,'00_Eingabe'!$D$24),IF(B147="Hauptsaison",IF(C147="Wochenende",'00_Eingabe'!$E$25,'00_Eingabe'!$D$25),IF(B147="Weihnachten",IF(C147="Wochenende",'00_Eingabe'!$E$26,'00_Eingabe'!$D$26),IF(C147="Wochenende",'00_Eingabe'!$E$27,'00_Eingabe'!$D$27))))))</x:f>
        <x:v>0.9</x:v>
      </x:c>
      <x:c r="H147" s="122" t="n">
        <x:f>IF(OR(A147="",G147=""),"",ROUND('00_Eingabe'!$B$9*G147,0))</x:f>
        <x:v>4</x:v>
      </x:c>
      <x:c r="I147" s="122" t="n">
        <x:f>IF(H147="","",ROUND(H147*'00_Eingabe'!$B$19,0))</x:f>
        <x:v>9</x:v>
      </x:c>
      <x:c r="J147" s="122" t="n">
        <x:f>IF(OR(F147="",I147=""),"",F147+I147)</x:f>
        <x:v>70</x:v>
      </x:c>
      <x:c r="K147" s="122" t="n">
        <x:f>IF(J147="","",ROUND(J147*'00_Eingabe'!$B$16*(1+'00_Eingabe'!$B$14),0))</x:f>
        <x:v>81</x:v>
      </x:c>
      <x:c r="L147" s="122" t="n">
        <x:f>IF(B147="Betriebsferien",0,ROUND(J147*'00_Eingabe'!$B$40,0)+IF(C147="Wochenende",'00_Eingabe'!$B$42,'00_Eingabe'!$B$41))</x:f>
        <x:v>93</x:v>
      </x:c>
      <x:c r="M147" s="123" t="n">
        <x:f>IF(J147="","",ROUND(J147*'00_Eingabe'!$B$17*(1+'00_Eingabe'!$B$15),0))</x:f>
        <x:v>81</x:v>
      </x:c>
      <x:c r="N147" s="106"/>
      <x:c r="O147" s="106"/>
      <x:c r="P147" s="116"/>
      <x:c r="Q147" s="213" t="n">
        <x:f>IF(C147="Wochenende",1,0)</x:f>
        <x:v>1</x:v>
      </x:c>
      <x:c r="R147" s="213" t="n">
        <x:f>IF(AND(B147&lt;&gt;"Betriebsferien",OR(WEEKDAY(A147,2)=2,WEEKDAY(A147,2)=4)),1,0)</x:f>
        <x:v>0</x:v>
      </x:c>
      <x:c r="S147" s="214" t="n">
        <x:f>R147*MIN(1,'00_Eingabe'!$B$62/'00_Eingabe'!$B$61)</x:f>
        <x:v>0</x:v>
      </x:c>
      <x:c r="T147" s="213" t="n">
        <x:f>IF(B147="Betriebsferien",0,IF(B147="Nebensaison",IF(OR(WEEKDAY(A147,2)=1,WEEKDAY(A147,2)=3,WEEKDAY(A147,2)=5),1,0),IF(C147="Unterwoche",1,0)))</x:f>
        <x:v>0</x:v>
      </x:c>
      <x:c r="U147" s="213" t="n">
        <x:f>IF(B147="Betriebsferien",0,'00_Eingabe'!$G$24)</x:f>
        <x:v>8</x:v>
      </x:c>
    </x:row>
    <x:row r="148">
      <x:c r="A148" s="121" t="n">
        <x:f>IF(ROW()-4&lt;DATE('00_Eingabe'!$B$7+1,1,1)-DATE('00_Eingabe'!$B$7,1,1),DATE('00_Eingabe'!$B$7,1,1)+ROW()-4,"")</x:f>
        <x:v>45802</x:v>
      </x:c>
      <x:c r="B148" s="122" t="str">
        <x:f>IF(A148="","",IF(OR(AND(MONTH(A148)=12,DAY(A148)&gt;=20),AND(MONTH(A148)=1,DAY(A148)&lt;=2)),"Weihnachten",IF(OR(AND(MONTH(A148)=11,DAY(A148)&gt;=24),AND(MONTH(A148)=12,DAY(A148)&lt;=7)),"Betriebsferien",IF(OR(AND(MONTH(A148)=1,DAY(A148)&gt;=3),MONTH(A148)=2,MONTH(A148)=3,MONTH(A148)=4,MONTH(A148)=10,MONTH(A148)=11,AND(MONTH(A148)=12,DAY(A148)&lt;=15)),"Nebensaison","Hauptsaison"))))</x:f>
        <x:v>Hauptsaison</x:v>
      </x:c>
      <x:c r="C148" s="122" t="str">
        <x:f>IF(A148="","",IF(WEEKDAY(A148,2)&gt;=6,"Wochenende","Unterwoche"))</x:f>
        <x:v>Wochenende</x:v>
      </x:c>
      <x:c r="D148" s="123" t="n">
        <x:f>IF(A148="","",IF(N148&lt;&gt;"",N148,IF(B148="Nebensaison",IF(C148="Wochenende",'00_Eingabe'!$C$24,'00_Eingabe'!$B$24),IF(B148="Hauptsaison",IF(C148="Wochenende",'00_Eingabe'!$C$25,'00_Eingabe'!$B$25),IF(B148="Weihnachten",IF(C148="Wochenende",'00_Eingabe'!$C$26,'00_Eingabe'!$B$26),IF(C148="Wochenende",'00_Eingabe'!$C$27,'00_Eingabe'!$B$27))))))</x:f>
        <x:v>0.9</x:v>
      </x:c>
      <x:c r="E148" s="122" t="n">
        <x:f>IF(OR(A148="",D148=""),"",ROUND('00_Eingabe'!$B$8*D148,0))</x:f>
        <x:v>32</x:v>
      </x:c>
      <x:c r="F148" s="122" t="n">
        <x:f>IF(E148="","",ROUND(E148*'00_Eingabe'!$B$18,0))</x:f>
        <x:v>61</x:v>
      </x:c>
      <x:c r="G148" s="123" t="n">
        <x:f>IF(A148="","",IF(O148&lt;&gt;"",O148,IF(B148="Nebensaison",IF(C148="Wochenende",'00_Eingabe'!$E$24,'00_Eingabe'!$D$24),IF(B148="Hauptsaison",IF(C148="Wochenende",'00_Eingabe'!$E$25,'00_Eingabe'!$D$25),IF(B148="Weihnachten",IF(C148="Wochenende",'00_Eingabe'!$E$26,'00_Eingabe'!$D$26),IF(C148="Wochenende",'00_Eingabe'!$E$27,'00_Eingabe'!$D$27))))))</x:f>
        <x:v>0.9</x:v>
      </x:c>
      <x:c r="H148" s="122" t="n">
        <x:f>IF(OR(A148="",G148=""),"",ROUND('00_Eingabe'!$B$9*G148,0))</x:f>
        <x:v>4</x:v>
      </x:c>
      <x:c r="I148" s="122" t="n">
        <x:f>IF(H148="","",ROUND(H148*'00_Eingabe'!$B$19,0))</x:f>
        <x:v>9</x:v>
      </x:c>
      <x:c r="J148" s="122" t="n">
        <x:f>IF(OR(F148="",I148=""),"",F148+I148)</x:f>
        <x:v>70</x:v>
      </x:c>
      <x:c r="K148" s="122" t="n">
        <x:f>IF(J148="","",ROUND(J148*'00_Eingabe'!$B$16*(1+'00_Eingabe'!$B$14),0))</x:f>
        <x:v>81</x:v>
      </x:c>
      <x:c r="L148" s="122" t="n">
        <x:f>IF(B148="Betriebsferien",0,ROUND(J148*'00_Eingabe'!$B$40,0)+IF(C148="Wochenende",'00_Eingabe'!$B$42,'00_Eingabe'!$B$41))</x:f>
        <x:v>93</x:v>
      </x:c>
      <x:c r="M148" s="123" t="n">
        <x:f>IF(J148="","",ROUND(J148*'00_Eingabe'!$B$17*(1+'00_Eingabe'!$B$15),0))</x:f>
        <x:v>81</x:v>
      </x:c>
      <x:c r="N148" s="106"/>
      <x:c r="O148" s="106"/>
      <x:c r="P148" s="116"/>
      <x:c r="Q148" s="213" t="n">
        <x:f>IF(C148="Wochenende",1,0)</x:f>
        <x:v>1</x:v>
      </x:c>
      <x:c r="R148" s="213" t="n">
        <x:f>IF(AND(B148&lt;&gt;"Betriebsferien",OR(WEEKDAY(A148,2)=2,WEEKDAY(A148,2)=4)),1,0)</x:f>
        <x:v>0</x:v>
      </x:c>
      <x:c r="S148" s="214" t="n">
        <x:f>R148*MIN(1,'00_Eingabe'!$B$62/'00_Eingabe'!$B$61)</x:f>
        <x:v>0</x:v>
      </x:c>
      <x:c r="T148" s="213" t="n">
        <x:f>IF(B148="Betriebsferien",0,IF(B148="Nebensaison",IF(OR(WEEKDAY(A148,2)=1,WEEKDAY(A148,2)=3,WEEKDAY(A148,2)=5),1,0),IF(C148="Unterwoche",1,0)))</x:f>
        <x:v>0</x:v>
      </x:c>
      <x:c r="U148" s="213" t="n">
        <x:f>IF(B148="Betriebsferien",0,'00_Eingabe'!$G$24)</x:f>
        <x:v>8</x:v>
      </x:c>
    </x:row>
    <x:row r="149">
      <x:c r="A149" s="121" t="n">
        <x:f>IF(ROW()-4&lt;DATE('00_Eingabe'!$B$7+1,1,1)-DATE('00_Eingabe'!$B$7,1,1),DATE('00_Eingabe'!$B$7,1,1)+ROW()-4,"")</x:f>
        <x:v>45803</x:v>
      </x:c>
      <x:c r="B149" s="122" t="str">
        <x:f>IF(A149="","",IF(OR(AND(MONTH(A149)=12,DAY(A149)&gt;=20),AND(MONTH(A149)=1,DAY(A149)&lt;=2)),"Weihnachten",IF(OR(AND(MONTH(A149)=11,DAY(A149)&gt;=24),AND(MONTH(A149)=12,DAY(A149)&lt;=7)),"Betriebsferien",IF(OR(AND(MONTH(A149)=1,DAY(A149)&gt;=3),MONTH(A149)=2,MONTH(A149)=3,MONTH(A149)=4,MONTH(A149)=10,MONTH(A149)=11,AND(MONTH(A149)=12,DAY(A149)&lt;=15)),"Nebensaison","Hauptsaison"))))</x:f>
        <x:v>Hauptsaison</x:v>
      </x:c>
      <x:c r="C149" s="122" t="str">
        <x:f>IF(A149="","",IF(WEEKDAY(A149,2)&gt;=6,"Wochenende","Unterwoche"))</x:f>
        <x:v>Unterwoche</x:v>
      </x:c>
      <x:c r="D149" s="123" t="n">
        <x:f>IF(A149="","",IF(N149&lt;&gt;"",N149,IF(B149="Nebensaison",IF(C149="Wochenende",'00_Eingabe'!$C$24,'00_Eingabe'!$B$24),IF(B149="Hauptsaison",IF(C149="Wochenende",'00_Eingabe'!$C$25,'00_Eingabe'!$B$25),IF(B149="Weihnachten",IF(C149="Wochenende",'00_Eingabe'!$C$26,'00_Eingabe'!$B$26),IF(C149="Wochenende",'00_Eingabe'!$C$27,'00_Eingabe'!$B$27))))))</x:f>
        <x:v>0.85</x:v>
      </x:c>
      <x:c r="E149" s="122" t="n">
        <x:f>IF(OR(A149="",D149=""),"",ROUND('00_Eingabe'!$B$8*D149,0))</x:f>
        <x:v>30</x:v>
      </x:c>
      <x:c r="F149" s="122" t="n">
        <x:f>IF(E149="","",ROUND(E149*'00_Eingabe'!$B$18,0))</x:f>
        <x:v>57</x:v>
      </x:c>
      <x:c r="G149" s="123" t="n">
        <x:f>IF(A149="","",IF(O149&lt;&gt;"",O149,IF(B149="Nebensaison",IF(C149="Wochenende",'00_Eingabe'!$E$24,'00_Eingabe'!$D$24),IF(B149="Hauptsaison",IF(C149="Wochenende",'00_Eingabe'!$E$25,'00_Eingabe'!$D$25),IF(B149="Weihnachten",IF(C149="Wochenende",'00_Eingabe'!$E$26,'00_Eingabe'!$D$26),IF(C149="Wochenende",'00_Eingabe'!$E$27,'00_Eingabe'!$D$27))))))</x:f>
        <x:v>0.85</x:v>
      </x:c>
      <x:c r="H149" s="122" t="n">
        <x:f>IF(OR(A149="",G149=""),"",ROUND('00_Eingabe'!$B$9*G149,0))</x:f>
        <x:v>3</x:v>
      </x:c>
      <x:c r="I149" s="122" t="n">
        <x:f>IF(H149="","",ROUND(H149*'00_Eingabe'!$B$19,0))</x:f>
        <x:v>7</x:v>
      </x:c>
      <x:c r="J149" s="122" t="n">
        <x:f>IF(OR(F149="",I149=""),"",F149+I149)</x:f>
        <x:v>64</x:v>
      </x:c>
      <x:c r="K149" s="122" t="n">
        <x:f>IF(J149="","",ROUND(J149*'00_Eingabe'!$B$16*(1+'00_Eingabe'!$B$14),0))</x:f>
        <x:v>74</x:v>
      </x:c>
      <x:c r="L149" s="122" t="n">
        <x:f>IF(B149="Betriebsferien",0,ROUND(J149*'00_Eingabe'!$B$40,0)+IF(C149="Wochenende",'00_Eingabe'!$B$42,'00_Eingabe'!$B$41))</x:f>
        <x:v>63</x:v>
      </x:c>
      <x:c r="M149" s="123" t="n">
        <x:f>IF(J149="","",ROUND(J149*'00_Eingabe'!$B$17*(1+'00_Eingabe'!$B$15),0))</x:f>
        <x:v>74</x:v>
      </x:c>
      <x:c r="N149" s="106"/>
      <x:c r="O149" s="106"/>
      <x:c r="P149" s="116"/>
      <x:c r="Q149" s="213" t="n">
        <x:f>IF(C149="Wochenende",1,0)</x:f>
        <x:v>0</x:v>
      </x:c>
      <x:c r="R149" s="213" t="n">
        <x:f>IF(AND(B149&lt;&gt;"Betriebsferien",OR(WEEKDAY(A149,2)=2,WEEKDAY(A149,2)=4)),1,0)</x:f>
        <x:v>0</x:v>
      </x:c>
      <x:c r="S149" s="214" t="n">
        <x:f>R149*MIN(1,'00_Eingabe'!$B$62/'00_Eingabe'!$B$61)</x:f>
        <x:v>0</x:v>
      </x:c>
      <x:c r="T149" s="213" t="n">
        <x:f>IF(B149="Betriebsferien",0,IF(B149="Nebensaison",IF(OR(WEEKDAY(A149,2)=1,WEEKDAY(A149,2)=3,WEEKDAY(A149,2)=5),1,0),IF(C149="Unterwoche",1,0)))</x:f>
        <x:v>1</x:v>
      </x:c>
      <x:c r="U149" s="213" t="n">
        <x:f>IF(B149="Betriebsferien",0,'00_Eingabe'!$G$24)</x:f>
        <x:v>8</x:v>
      </x:c>
    </x:row>
    <x:row r="150">
      <x:c r="A150" s="121" t="n">
        <x:f>IF(ROW()-4&lt;DATE('00_Eingabe'!$B$7+1,1,1)-DATE('00_Eingabe'!$B$7,1,1),DATE('00_Eingabe'!$B$7,1,1)+ROW()-4,"")</x:f>
        <x:v>45804</x:v>
      </x:c>
      <x:c r="B150" s="122" t="str">
        <x:f>IF(A150="","",IF(OR(AND(MONTH(A150)=12,DAY(A150)&gt;=20),AND(MONTH(A150)=1,DAY(A150)&lt;=2)),"Weihnachten",IF(OR(AND(MONTH(A150)=11,DAY(A150)&gt;=24),AND(MONTH(A150)=12,DAY(A150)&lt;=7)),"Betriebsferien",IF(OR(AND(MONTH(A150)=1,DAY(A150)&gt;=3),MONTH(A150)=2,MONTH(A150)=3,MONTH(A150)=4,MONTH(A150)=10,MONTH(A150)=11,AND(MONTH(A150)=12,DAY(A150)&lt;=15)),"Nebensaison","Hauptsaison"))))</x:f>
        <x:v>Hauptsaison</x:v>
      </x:c>
      <x:c r="C150" s="122" t="str">
        <x:f>IF(A150="","",IF(WEEKDAY(A150,2)&gt;=6,"Wochenende","Unterwoche"))</x:f>
        <x:v>Unterwoche</x:v>
      </x:c>
      <x:c r="D150" s="123" t="n">
        <x:f>IF(A150="","",IF(N150&lt;&gt;"",N150,IF(B150="Nebensaison",IF(C150="Wochenende",'00_Eingabe'!$C$24,'00_Eingabe'!$B$24),IF(B150="Hauptsaison",IF(C150="Wochenende",'00_Eingabe'!$C$25,'00_Eingabe'!$B$25),IF(B150="Weihnachten",IF(C150="Wochenende",'00_Eingabe'!$C$26,'00_Eingabe'!$B$26),IF(C150="Wochenende",'00_Eingabe'!$C$27,'00_Eingabe'!$B$27))))))</x:f>
        <x:v>0.85</x:v>
      </x:c>
      <x:c r="E150" s="122" t="n">
        <x:f>IF(OR(A150="",D150=""),"",ROUND('00_Eingabe'!$B$8*D150,0))</x:f>
        <x:v>30</x:v>
      </x:c>
      <x:c r="F150" s="122" t="n">
        <x:f>IF(E150="","",ROUND(E150*'00_Eingabe'!$B$18,0))</x:f>
        <x:v>57</x:v>
      </x:c>
      <x:c r="G150" s="123" t="n">
        <x:f>IF(A150="","",IF(O150&lt;&gt;"",O150,IF(B150="Nebensaison",IF(C150="Wochenende",'00_Eingabe'!$E$24,'00_Eingabe'!$D$24),IF(B150="Hauptsaison",IF(C150="Wochenende",'00_Eingabe'!$E$25,'00_Eingabe'!$D$25),IF(B150="Weihnachten",IF(C150="Wochenende",'00_Eingabe'!$E$26,'00_Eingabe'!$D$26),IF(C150="Wochenende",'00_Eingabe'!$E$27,'00_Eingabe'!$D$27))))))</x:f>
        <x:v>0.85</x:v>
      </x:c>
      <x:c r="H150" s="122" t="n">
        <x:f>IF(OR(A150="",G150=""),"",ROUND('00_Eingabe'!$B$9*G150,0))</x:f>
        <x:v>3</x:v>
      </x:c>
      <x:c r="I150" s="122" t="n">
        <x:f>IF(H150="","",ROUND(H150*'00_Eingabe'!$B$19,0))</x:f>
        <x:v>7</x:v>
      </x:c>
      <x:c r="J150" s="122" t="n">
        <x:f>IF(OR(F150="",I150=""),"",F150+I150)</x:f>
        <x:v>64</x:v>
      </x:c>
      <x:c r="K150" s="122" t="n">
        <x:f>IF(J150="","",ROUND(J150*'00_Eingabe'!$B$16*(1+'00_Eingabe'!$B$14),0))</x:f>
        <x:v>74</x:v>
      </x:c>
      <x:c r="L150" s="122" t="n">
        <x:f>IF(B150="Betriebsferien",0,ROUND(J150*'00_Eingabe'!$B$40,0)+IF(C150="Wochenende",'00_Eingabe'!$B$42,'00_Eingabe'!$B$41))</x:f>
        <x:v>63</x:v>
      </x:c>
      <x:c r="M150" s="123" t="n">
        <x:f>IF(J150="","",ROUND(J150*'00_Eingabe'!$B$17*(1+'00_Eingabe'!$B$15),0))</x:f>
        <x:v>74</x:v>
      </x:c>
      <x:c r="N150" s="106"/>
      <x:c r="O150" s="106"/>
      <x:c r="P150" s="116"/>
      <x:c r="Q150" s="213" t="n">
        <x:f>IF(C150="Wochenende",1,0)</x:f>
        <x:v>0</x:v>
      </x:c>
      <x:c r="R150" s="213" t="n">
        <x:f>IF(AND(B150&lt;&gt;"Betriebsferien",OR(WEEKDAY(A150,2)=2,WEEKDAY(A150,2)=4)),1,0)</x:f>
        <x:v>1</x:v>
      </x:c>
      <x:c r="S150" s="214" t="n">
        <x:f>R150*MIN(1,'00_Eingabe'!$B$62/'00_Eingabe'!$B$61)</x:f>
        <x:v>0.5</x:v>
      </x:c>
      <x:c r="T150" s="213" t="n">
        <x:f>IF(B150="Betriebsferien",0,IF(B150="Nebensaison",IF(OR(WEEKDAY(A150,2)=1,WEEKDAY(A150,2)=3,WEEKDAY(A150,2)=5),1,0),IF(C150="Unterwoche",1,0)))</x:f>
        <x:v>1</x:v>
      </x:c>
      <x:c r="U150" s="213" t="n">
        <x:f>IF(B150="Betriebsferien",0,'00_Eingabe'!$G$24)</x:f>
        <x:v>8</x:v>
      </x:c>
    </x:row>
    <x:row r="151">
      <x:c r="A151" s="121" t="n">
        <x:f>IF(ROW()-4&lt;DATE('00_Eingabe'!$B$7+1,1,1)-DATE('00_Eingabe'!$B$7,1,1),DATE('00_Eingabe'!$B$7,1,1)+ROW()-4,"")</x:f>
        <x:v>45805</x:v>
      </x:c>
      <x:c r="B151" s="122" t="str">
        <x:f>IF(A151="","",IF(OR(AND(MONTH(A151)=12,DAY(A151)&gt;=20),AND(MONTH(A151)=1,DAY(A151)&lt;=2)),"Weihnachten",IF(OR(AND(MONTH(A151)=11,DAY(A151)&gt;=24),AND(MONTH(A151)=12,DAY(A151)&lt;=7)),"Betriebsferien",IF(OR(AND(MONTH(A151)=1,DAY(A151)&gt;=3),MONTH(A151)=2,MONTH(A151)=3,MONTH(A151)=4,MONTH(A151)=10,MONTH(A151)=11,AND(MONTH(A151)=12,DAY(A151)&lt;=15)),"Nebensaison","Hauptsaison"))))</x:f>
        <x:v>Hauptsaison</x:v>
      </x:c>
      <x:c r="C151" s="122" t="str">
        <x:f>IF(A151="","",IF(WEEKDAY(A151,2)&gt;=6,"Wochenende","Unterwoche"))</x:f>
        <x:v>Unterwoche</x:v>
      </x:c>
      <x:c r="D151" s="123" t="n">
        <x:f>IF(A151="","",IF(N151&lt;&gt;"",N151,IF(B151="Nebensaison",IF(C151="Wochenende",'00_Eingabe'!$C$24,'00_Eingabe'!$B$24),IF(B151="Hauptsaison",IF(C151="Wochenende",'00_Eingabe'!$C$25,'00_Eingabe'!$B$25),IF(B151="Weihnachten",IF(C151="Wochenende",'00_Eingabe'!$C$26,'00_Eingabe'!$B$26),IF(C151="Wochenende",'00_Eingabe'!$C$27,'00_Eingabe'!$B$27))))))</x:f>
        <x:v>0.85</x:v>
      </x:c>
      <x:c r="E151" s="122" t="n">
        <x:f>IF(OR(A151="",D151=""),"",ROUND('00_Eingabe'!$B$8*D151,0))</x:f>
        <x:v>30</x:v>
      </x:c>
      <x:c r="F151" s="122" t="n">
        <x:f>IF(E151="","",ROUND(E151*'00_Eingabe'!$B$18,0))</x:f>
        <x:v>57</x:v>
      </x:c>
      <x:c r="G151" s="123" t="n">
        <x:f>IF(A151="","",IF(O151&lt;&gt;"",O151,IF(B151="Nebensaison",IF(C151="Wochenende",'00_Eingabe'!$E$24,'00_Eingabe'!$D$24),IF(B151="Hauptsaison",IF(C151="Wochenende",'00_Eingabe'!$E$25,'00_Eingabe'!$D$25),IF(B151="Weihnachten",IF(C151="Wochenende",'00_Eingabe'!$E$26,'00_Eingabe'!$D$26),IF(C151="Wochenende",'00_Eingabe'!$E$27,'00_Eingabe'!$D$27))))))</x:f>
        <x:v>0.85</x:v>
      </x:c>
      <x:c r="H151" s="122" t="n">
        <x:f>IF(OR(A151="",G151=""),"",ROUND('00_Eingabe'!$B$9*G151,0))</x:f>
        <x:v>3</x:v>
      </x:c>
      <x:c r="I151" s="122" t="n">
        <x:f>IF(H151="","",ROUND(H151*'00_Eingabe'!$B$19,0))</x:f>
        <x:v>7</x:v>
      </x:c>
      <x:c r="J151" s="122" t="n">
        <x:f>IF(OR(F151="",I151=""),"",F151+I151)</x:f>
        <x:v>64</x:v>
      </x:c>
      <x:c r="K151" s="122" t="n">
        <x:f>IF(J151="","",ROUND(J151*'00_Eingabe'!$B$16*(1+'00_Eingabe'!$B$14),0))</x:f>
        <x:v>74</x:v>
      </x:c>
      <x:c r="L151" s="122" t="n">
        <x:f>IF(B151="Betriebsferien",0,ROUND(J151*'00_Eingabe'!$B$40,0)+IF(C151="Wochenende",'00_Eingabe'!$B$42,'00_Eingabe'!$B$41))</x:f>
        <x:v>63</x:v>
      </x:c>
      <x:c r="M151" s="123" t="n">
        <x:f>IF(J151="","",ROUND(J151*'00_Eingabe'!$B$17*(1+'00_Eingabe'!$B$15),0))</x:f>
        <x:v>74</x:v>
      </x:c>
      <x:c r="N151" s="106"/>
      <x:c r="O151" s="106"/>
      <x:c r="P151" s="116"/>
      <x:c r="Q151" s="213" t="n">
        <x:f>IF(C151="Wochenende",1,0)</x:f>
        <x:v>0</x:v>
      </x:c>
      <x:c r="R151" s="213" t="n">
        <x:f>IF(AND(B151&lt;&gt;"Betriebsferien",OR(WEEKDAY(A151,2)=2,WEEKDAY(A151,2)=4)),1,0)</x:f>
        <x:v>0</x:v>
      </x:c>
      <x:c r="S151" s="214" t="n">
        <x:f>R151*MIN(1,'00_Eingabe'!$B$62/'00_Eingabe'!$B$61)</x:f>
        <x:v>0</x:v>
      </x:c>
      <x:c r="T151" s="213" t="n">
        <x:f>IF(B151="Betriebsferien",0,IF(B151="Nebensaison",IF(OR(WEEKDAY(A151,2)=1,WEEKDAY(A151,2)=3,WEEKDAY(A151,2)=5),1,0),IF(C151="Unterwoche",1,0)))</x:f>
        <x:v>1</x:v>
      </x:c>
      <x:c r="U151" s="213" t="n">
        <x:f>IF(B151="Betriebsferien",0,'00_Eingabe'!$G$24)</x:f>
        <x:v>8</x:v>
      </x:c>
    </x:row>
    <x:row r="152">
      <x:c r="A152" s="121" t="n">
        <x:f>IF(ROW()-4&lt;DATE('00_Eingabe'!$B$7+1,1,1)-DATE('00_Eingabe'!$B$7,1,1),DATE('00_Eingabe'!$B$7,1,1)+ROW()-4,"")</x:f>
        <x:v>45806</x:v>
      </x:c>
      <x:c r="B152" s="122" t="str">
        <x:f>IF(A152="","",IF(OR(AND(MONTH(A152)=12,DAY(A152)&gt;=20),AND(MONTH(A152)=1,DAY(A152)&lt;=2)),"Weihnachten",IF(OR(AND(MONTH(A152)=11,DAY(A152)&gt;=24),AND(MONTH(A152)=12,DAY(A152)&lt;=7)),"Betriebsferien",IF(OR(AND(MONTH(A152)=1,DAY(A152)&gt;=3),MONTH(A152)=2,MONTH(A152)=3,MONTH(A152)=4,MONTH(A152)=10,MONTH(A152)=11,AND(MONTH(A152)=12,DAY(A152)&lt;=15)),"Nebensaison","Hauptsaison"))))</x:f>
        <x:v>Hauptsaison</x:v>
      </x:c>
      <x:c r="C152" s="122" t="str">
        <x:f>IF(A152="","",IF(WEEKDAY(A152,2)&gt;=6,"Wochenende","Unterwoche"))</x:f>
        <x:v>Unterwoche</x:v>
      </x:c>
      <x:c r="D152" s="123" t="n">
        <x:f>IF(A152="","",IF(N152&lt;&gt;"",N152,IF(B152="Nebensaison",IF(C152="Wochenende",'00_Eingabe'!$C$24,'00_Eingabe'!$B$24),IF(B152="Hauptsaison",IF(C152="Wochenende",'00_Eingabe'!$C$25,'00_Eingabe'!$B$25),IF(B152="Weihnachten",IF(C152="Wochenende",'00_Eingabe'!$C$26,'00_Eingabe'!$B$26),IF(C152="Wochenende",'00_Eingabe'!$C$27,'00_Eingabe'!$B$27))))))</x:f>
        <x:v>0.85</x:v>
      </x:c>
      <x:c r="E152" s="122" t="n">
        <x:f>IF(OR(A152="",D152=""),"",ROUND('00_Eingabe'!$B$8*D152,0))</x:f>
        <x:v>30</x:v>
      </x:c>
      <x:c r="F152" s="122" t="n">
        <x:f>IF(E152="","",ROUND(E152*'00_Eingabe'!$B$18,0))</x:f>
        <x:v>57</x:v>
      </x:c>
      <x:c r="G152" s="123" t="n">
        <x:f>IF(A152="","",IF(O152&lt;&gt;"",O152,IF(B152="Nebensaison",IF(C152="Wochenende",'00_Eingabe'!$E$24,'00_Eingabe'!$D$24),IF(B152="Hauptsaison",IF(C152="Wochenende",'00_Eingabe'!$E$25,'00_Eingabe'!$D$25),IF(B152="Weihnachten",IF(C152="Wochenende",'00_Eingabe'!$E$26,'00_Eingabe'!$D$26),IF(C152="Wochenende",'00_Eingabe'!$E$27,'00_Eingabe'!$D$27))))))</x:f>
        <x:v>0.85</x:v>
      </x:c>
      <x:c r="H152" s="122" t="n">
        <x:f>IF(OR(A152="",G152=""),"",ROUND('00_Eingabe'!$B$9*G152,0))</x:f>
        <x:v>3</x:v>
      </x:c>
      <x:c r="I152" s="122" t="n">
        <x:f>IF(H152="","",ROUND(H152*'00_Eingabe'!$B$19,0))</x:f>
        <x:v>7</x:v>
      </x:c>
      <x:c r="J152" s="122" t="n">
        <x:f>IF(OR(F152="",I152=""),"",F152+I152)</x:f>
        <x:v>64</x:v>
      </x:c>
      <x:c r="K152" s="122" t="n">
        <x:f>IF(J152="","",ROUND(J152*'00_Eingabe'!$B$16*(1+'00_Eingabe'!$B$14),0))</x:f>
        <x:v>74</x:v>
      </x:c>
      <x:c r="L152" s="122" t="n">
        <x:f>IF(B152="Betriebsferien",0,ROUND(J152*'00_Eingabe'!$B$40,0)+IF(C152="Wochenende",'00_Eingabe'!$B$42,'00_Eingabe'!$B$41))</x:f>
        <x:v>63</x:v>
      </x:c>
      <x:c r="M152" s="123" t="n">
        <x:f>IF(J152="","",ROUND(J152*'00_Eingabe'!$B$17*(1+'00_Eingabe'!$B$15),0))</x:f>
        <x:v>74</x:v>
      </x:c>
      <x:c r="N152" s="106"/>
      <x:c r="O152" s="106"/>
      <x:c r="P152" s="116"/>
      <x:c r="Q152" s="213" t="n">
        <x:f>IF(C152="Wochenende",1,0)</x:f>
        <x:v>0</x:v>
      </x:c>
      <x:c r="R152" s="213" t="n">
        <x:f>IF(AND(B152&lt;&gt;"Betriebsferien",OR(WEEKDAY(A152,2)=2,WEEKDAY(A152,2)=4)),1,0)</x:f>
        <x:v>1</x:v>
      </x:c>
      <x:c r="S152" s="214" t="n">
        <x:f>R152*MIN(1,'00_Eingabe'!$B$62/'00_Eingabe'!$B$61)</x:f>
        <x:v>0.5</x:v>
      </x:c>
      <x:c r="T152" s="213" t="n">
        <x:f>IF(B152="Betriebsferien",0,IF(B152="Nebensaison",IF(OR(WEEKDAY(A152,2)=1,WEEKDAY(A152,2)=3,WEEKDAY(A152,2)=5),1,0),IF(C152="Unterwoche",1,0)))</x:f>
        <x:v>1</x:v>
      </x:c>
      <x:c r="U152" s="213" t="n">
        <x:f>IF(B152="Betriebsferien",0,'00_Eingabe'!$G$24)</x:f>
        <x:v>8</x:v>
      </x:c>
    </x:row>
    <x:row r="153">
      <x:c r="A153" s="121" t="n">
        <x:f>IF(ROW()-4&lt;DATE('00_Eingabe'!$B$7+1,1,1)-DATE('00_Eingabe'!$B$7,1,1),DATE('00_Eingabe'!$B$7,1,1)+ROW()-4,"")</x:f>
        <x:v>45807</x:v>
      </x:c>
      <x:c r="B153" s="122" t="str">
        <x:f>IF(A153="","",IF(OR(AND(MONTH(A153)=12,DAY(A153)&gt;=20),AND(MONTH(A153)=1,DAY(A153)&lt;=2)),"Weihnachten",IF(OR(AND(MONTH(A153)=11,DAY(A153)&gt;=24),AND(MONTH(A153)=12,DAY(A153)&lt;=7)),"Betriebsferien",IF(OR(AND(MONTH(A153)=1,DAY(A153)&gt;=3),MONTH(A153)=2,MONTH(A153)=3,MONTH(A153)=4,MONTH(A153)=10,MONTH(A153)=11,AND(MONTH(A153)=12,DAY(A153)&lt;=15)),"Nebensaison","Hauptsaison"))))</x:f>
        <x:v>Hauptsaison</x:v>
      </x:c>
      <x:c r="C153" s="122" t="str">
        <x:f>IF(A153="","",IF(WEEKDAY(A153,2)&gt;=6,"Wochenende","Unterwoche"))</x:f>
        <x:v>Unterwoche</x:v>
      </x:c>
      <x:c r="D153" s="123" t="n">
        <x:f>IF(A153="","",IF(N153&lt;&gt;"",N153,IF(B153="Nebensaison",IF(C153="Wochenende",'00_Eingabe'!$C$24,'00_Eingabe'!$B$24),IF(B153="Hauptsaison",IF(C153="Wochenende",'00_Eingabe'!$C$25,'00_Eingabe'!$B$25),IF(B153="Weihnachten",IF(C153="Wochenende",'00_Eingabe'!$C$26,'00_Eingabe'!$B$26),IF(C153="Wochenende",'00_Eingabe'!$C$27,'00_Eingabe'!$B$27))))))</x:f>
        <x:v>0.85</x:v>
      </x:c>
      <x:c r="E153" s="122" t="n">
        <x:f>IF(OR(A153="",D153=""),"",ROUND('00_Eingabe'!$B$8*D153,0))</x:f>
        <x:v>30</x:v>
      </x:c>
      <x:c r="F153" s="122" t="n">
        <x:f>IF(E153="","",ROUND(E153*'00_Eingabe'!$B$18,0))</x:f>
        <x:v>57</x:v>
      </x:c>
      <x:c r="G153" s="123" t="n">
        <x:f>IF(A153="","",IF(O153&lt;&gt;"",O153,IF(B153="Nebensaison",IF(C153="Wochenende",'00_Eingabe'!$E$24,'00_Eingabe'!$D$24),IF(B153="Hauptsaison",IF(C153="Wochenende",'00_Eingabe'!$E$25,'00_Eingabe'!$D$25),IF(B153="Weihnachten",IF(C153="Wochenende",'00_Eingabe'!$E$26,'00_Eingabe'!$D$26),IF(C153="Wochenende",'00_Eingabe'!$E$27,'00_Eingabe'!$D$27))))))</x:f>
        <x:v>0.85</x:v>
      </x:c>
      <x:c r="H153" s="122" t="n">
        <x:f>IF(OR(A153="",G153=""),"",ROUND('00_Eingabe'!$B$9*G153,0))</x:f>
        <x:v>3</x:v>
      </x:c>
      <x:c r="I153" s="122" t="n">
        <x:f>IF(H153="","",ROUND(H153*'00_Eingabe'!$B$19,0))</x:f>
        <x:v>7</x:v>
      </x:c>
      <x:c r="J153" s="122" t="n">
        <x:f>IF(OR(F153="",I153=""),"",F153+I153)</x:f>
        <x:v>64</x:v>
      </x:c>
      <x:c r="K153" s="122" t="n">
        <x:f>IF(J153="","",ROUND(J153*'00_Eingabe'!$B$16*(1+'00_Eingabe'!$B$14),0))</x:f>
        <x:v>74</x:v>
      </x:c>
      <x:c r="L153" s="122" t="n">
        <x:f>IF(B153="Betriebsferien",0,ROUND(J153*'00_Eingabe'!$B$40,0)+IF(C153="Wochenende",'00_Eingabe'!$B$42,'00_Eingabe'!$B$41))</x:f>
        <x:v>63</x:v>
      </x:c>
      <x:c r="M153" s="123" t="n">
        <x:f>IF(J153="","",ROUND(J153*'00_Eingabe'!$B$17*(1+'00_Eingabe'!$B$15),0))</x:f>
        <x:v>74</x:v>
      </x:c>
      <x:c r="N153" s="106"/>
      <x:c r="O153" s="106"/>
      <x:c r="P153" s="116"/>
      <x:c r="Q153" s="213" t="n">
        <x:f>IF(C153="Wochenende",1,0)</x:f>
        <x:v>0</x:v>
      </x:c>
      <x:c r="R153" s="213" t="n">
        <x:f>IF(AND(B153&lt;&gt;"Betriebsferien",OR(WEEKDAY(A153,2)=2,WEEKDAY(A153,2)=4)),1,0)</x:f>
        <x:v>0</x:v>
      </x:c>
      <x:c r="S153" s="214" t="n">
        <x:f>R153*MIN(1,'00_Eingabe'!$B$62/'00_Eingabe'!$B$61)</x:f>
        <x:v>0</x:v>
      </x:c>
      <x:c r="T153" s="213" t="n">
        <x:f>IF(B153="Betriebsferien",0,IF(B153="Nebensaison",IF(OR(WEEKDAY(A153,2)=1,WEEKDAY(A153,2)=3,WEEKDAY(A153,2)=5),1,0),IF(C153="Unterwoche",1,0)))</x:f>
        <x:v>1</x:v>
      </x:c>
      <x:c r="U153" s="213" t="n">
        <x:f>IF(B153="Betriebsferien",0,'00_Eingabe'!$G$24)</x:f>
        <x:v>8</x:v>
      </x:c>
    </x:row>
    <x:row r="154">
      <x:c r="A154" s="121" t="n">
        <x:f>IF(ROW()-4&lt;DATE('00_Eingabe'!$B$7+1,1,1)-DATE('00_Eingabe'!$B$7,1,1),DATE('00_Eingabe'!$B$7,1,1)+ROW()-4,"")</x:f>
        <x:v>45808</x:v>
      </x:c>
      <x:c r="B154" s="122" t="str">
        <x:f>IF(A154="","",IF(OR(AND(MONTH(A154)=12,DAY(A154)&gt;=20),AND(MONTH(A154)=1,DAY(A154)&lt;=2)),"Weihnachten",IF(OR(AND(MONTH(A154)=11,DAY(A154)&gt;=24),AND(MONTH(A154)=12,DAY(A154)&lt;=7)),"Betriebsferien",IF(OR(AND(MONTH(A154)=1,DAY(A154)&gt;=3),MONTH(A154)=2,MONTH(A154)=3,MONTH(A154)=4,MONTH(A154)=10,MONTH(A154)=11,AND(MONTH(A154)=12,DAY(A154)&lt;=15)),"Nebensaison","Hauptsaison"))))</x:f>
        <x:v>Hauptsaison</x:v>
      </x:c>
      <x:c r="C154" s="122" t="str">
        <x:f>IF(A154="","",IF(WEEKDAY(A154,2)&gt;=6,"Wochenende","Unterwoche"))</x:f>
        <x:v>Wochenende</x:v>
      </x:c>
      <x:c r="D154" s="123" t="n">
        <x:f>IF(A154="","",IF(N154&lt;&gt;"",N154,IF(B154="Nebensaison",IF(C154="Wochenende",'00_Eingabe'!$C$24,'00_Eingabe'!$B$24),IF(B154="Hauptsaison",IF(C154="Wochenende",'00_Eingabe'!$C$25,'00_Eingabe'!$B$25),IF(B154="Weihnachten",IF(C154="Wochenende",'00_Eingabe'!$C$26,'00_Eingabe'!$B$26),IF(C154="Wochenende",'00_Eingabe'!$C$27,'00_Eingabe'!$B$27))))))</x:f>
        <x:v>0.9</x:v>
      </x:c>
      <x:c r="E154" s="122" t="n">
        <x:f>IF(OR(A154="",D154=""),"",ROUND('00_Eingabe'!$B$8*D154,0))</x:f>
        <x:v>32</x:v>
      </x:c>
      <x:c r="F154" s="122" t="n">
        <x:f>IF(E154="","",ROUND(E154*'00_Eingabe'!$B$18,0))</x:f>
        <x:v>61</x:v>
      </x:c>
      <x:c r="G154" s="123" t="n">
        <x:f>IF(A154="","",IF(O154&lt;&gt;"",O154,IF(B154="Nebensaison",IF(C154="Wochenende",'00_Eingabe'!$E$24,'00_Eingabe'!$D$24),IF(B154="Hauptsaison",IF(C154="Wochenende",'00_Eingabe'!$E$25,'00_Eingabe'!$D$25),IF(B154="Weihnachten",IF(C154="Wochenende",'00_Eingabe'!$E$26,'00_Eingabe'!$D$26),IF(C154="Wochenende",'00_Eingabe'!$E$27,'00_Eingabe'!$D$27))))))</x:f>
        <x:v>0.9</x:v>
      </x:c>
      <x:c r="H154" s="122" t="n">
        <x:f>IF(OR(A154="",G154=""),"",ROUND('00_Eingabe'!$B$9*G154,0))</x:f>
        <x:v>4</x:v>
      </x:c>
      <x:c r="I154" s="122" t="n">
        <x:f>IF(H154="","",ROUND(H154*'00_Eingabe'!$B$19,0))</x:f>
        <x:v>9</x:v>
      </x:c>
      <x:c r="J154" s="122" t="n">
        <x:f>IF(OR(F154="",I154=""),"",F154+I154)</x:f>
        <x:v>70</x:v>
      </x:c>
      <x:c r="K154" s="122" t="n">
        <x:f>IF(J154="","",ROUND(J154*'00_Eingabe'!$B$16*(1+'00_Eingabe'!$B$14),0))</x:f>
        <x:v>81</x:v>
      </x:c>
      <x:c r="L154" s="122" t="n">
        <x:f>IF(B154="Betriebsferien",0,ROUND(J154*'00_Eingabe'!$B$40,0)+IF(C154="Wochenende",'00_Eingabe'!$B$42,'00_Eingabe'!$B$41))</x:f>
        <x:v>93</x:v>
      </x:c>
      <x:c r="M154" s="123" t="n">
        <x:f>IF(J154="","",ROUND(J154*'00_Eingabe'!$B$17*(1+'00_Eingabe'!$B$15),0))</x:f>
        <x:v>81</x:v>
      </x:c>
      <x:c r="N154" s="106"/>
      <x:c r="O154" s="106"/>
      <x:c r="P154" s="116"/>
      <x:c r="Q154" s="213" t="n">
        <x:f>IF(C154="Wochenende",1,0)</x:f>
        <x:v>1</x:v>
      </x:c>
      <x:c r="R154" s="213" t="n">
        <x:f>IF(AND(B154&lt;&gt;"Betriebsferien",OR(WEEKDAY(A154,2)=2,WEEKDAY(A154,2)=4)),1,0)</x:f>
        <x:v>0</x:v>
      </x:c>
      <x:c r="S154" s="214" t="n">
        <x:f>R154*MIN(1,'00_Eingabe'!$B$62/'00_Eingabe'!$B$61)</x:f>
        <x:v>0</x:v>
      </x:c>
      <x:c r="T154" s="213" t="n">
        <x:f>IF(B154="Betriebsferien",0,IF(B154="Nebensaison",IF(OR(WEEKDAY(A154,2)=1,WEEKDAY(A154,2)=3,WEEKDAY(A154,2)=5),1,0),IF(C154="Unterwoche",1,0)))</x:f>
        <x:v>0</x:v>
      </x:c>
      <x:c r="U154" s="213" t="n">
        <x:f>IF(B154="Betriebsferien",0,'00_Eingabe'!$G$24)</x:f>
        <x:v>8</x:v>
      </x:c>
    </x:row>
    <x:row r="155">
      <x:c r="A155" s="121" t="n">
        <x:f>IF(ROW()-4&lt;DATE('00_Eingabe'!$B$7+1,1,1)-DATE('00_Eingabe'!$B$7,1,1),DATE('00_Eingabe'!$B$7,1,1)+ROW()-4,"")</x:f>
        <x:v>45809</x:v>
      </x:c>
      <x:c r="B155" s="122" t="str">
        <x:f>IF(A155="","",IF(OR(AND(MONTH(A155)=12,DAY(A155)&gt;=20),AND(MONTH(A155)=1,DAY(A155)&lt;=2)),"Weihnachten",IF(OR(AND(MONTH(A155)=11,DAY(A155)&gt;=24),AND(MONTH(A155)=12,DAY(A155)&lt;=7)),"Betriebsferien",IF(OR(AND(MONTH(A155)=1,DAY(A155)&gt;=3),MONTH(A155)=2,MONTH(A155)=3,MONTH(A155)=4,MONTH(A155)=10,MONTH(A155)=11,AND(MONTH(A155)=12,DAY(A155)&lt;=15)),"Nebensaison","Hauptsaison"))))</x:f>
        <x:v>Hauptsaison</x:v>
      </x:c>
      <x:c r="C155" s="122" t="str">
        <x:f>IF(A155="","",IF(WEEKDAY(A155,2)&gt;=6,"Wochenende","Unterwoche"))</x:f>
        <x:v>Wochenende</x:v>
      </x:c>
      <x:c r="D155" s="123" t="n">
        <x:f>IF(A155="","",IF(N155&lt;&gt;"",N155,IF(B155="Nebensaison",IF(C155="Wochenende",'00_Eingabe'!$C$24,'00_Eingabe'!$B$24),IF(B155="Hauptsaison",IF(C155="Wochenende",'00_Eingabe'!$C$25,'00_Eingabe'!$B$25),IF(B155="Weihnachten",IF(C155="Wochenende",'00_Eingabe'!$C$26,'00_Eingabe'!$B$26),IF(C155="Wochenende",'00_Eingabe'!$C$27,'00_Eingabe'!$B$27))))))</x:f>
        <x:v>0.9</x:v>
      </x:c>
      <x:c r="E155" s="122" t="n">
        <x:f>IF(OR(A155="",D155=""),"",ROUND('00_Eingabe'!$B$8*D155,0))</x:f>
        <x:v>32</x:v>
      </x:c>
      <x:c r="F155" s="122" t="n">
        <x:f>IF(E155="","",ROUND(E155*'00_Eingabe'!$B$18,0))</x:f>
        <x:v>61</x:v>
      </x:c>
      <x:c r="G155" s="123" t="n">
        <x:f>IF(A155="","",IF(O155&lt;&gt;"",O155,IF(B155="Nebensaison",IF(C155="Wochenende",'00_Eingabe'!$E$24,'00_Eingabe'!$D$24),IF(B155="Hauptsaison",IF(C155="Wochenende",'00_Eingabe'!$E$25,'00_Eingabe'!$D$25),IF(B155="Weihnachten",IF(C155="Wochenende",'00_Eingabe'!$E$26,'00_Eingabe'!$D$26),IF(C155="Wochenende",'00_Eingabe'!$E$27,'00_Eingabe'!$D$27))))))</x:f>
        <x:v>0.9</x:v>
      </x:c>
      <x:c r="H155" s="122" t="n">
        <x:f>IF(OR(A155="",G155=""),"",ROUND('00_Eingabe'!$B$9*G155,0))</x:f>
        <x:v>4</x:v>
      </x:c>
      <x:c r="I155" s="122" t="n">
        <x:f>IF(H155="","",ROUND(H155*'00_Eingabe'!$B$19,0))</x:f>
        <x:v>9</x:v>
      </x:c>
      <x:c r="J155" s="122" t="n">
        <x:f>IF(OR(F155="",I155=""),"",F155+I155)</x:f>
        <x:v>70</x:v>
      </x:c>
      <x:c r="K155" s="122" t="n">
        <x:f>IF(J155="","",ROUND(J155*'00_Eingabe'!$B$16*(1+'00_Eingabe'!$B$14),0))</x:f>
        <x:v>81</x:v>
      </x:c>
      <x:c r="L155" s="122" t="n">
        <x:f>IF(B155="Betriebsferien",0,ROUND(J155*'00_Eingabe'!$B$40,0)+IF(C155="Wochenende",'00_Eingabe'!$B$42,'00_Eingabe'!$B$41))</x:f>
        <x:v>93</x:v>
      </x:c>
      <x:c r="M155" s="123" t="n">
        <x:f>IF(J155="","",ROUND(J155*'00_Eingabe'!$B$17*(1+'00_Eingabe'!$B$15),0))</x:f>
        <x:v>81</x:v>
      </x:c>
      <x:c r="N155" s="106"/>
      <x:c r="O155" s="106"/>
      <x:c r="P155" s="116"/>
      <x:c r="Q155" s="213" t="n">
        <x:f>IF(C155="Wochenende",1,0)</x:f>
        <x:v>1</x:v>
      </x:c>
      <x:c r="R155" s="213" t="n">
        <x:f>IF(AND(B155&lt;&gt;"Betriebsferien",OR(WEEKDAY(A155,2)=2,WEEKDAY(A155,2)=4)),1,0)</x:f>
        <x:v>0</x:v>
      </x:c>
      <x:c r="S155" s="214" t="n">
        <x:f>R155*MIN(1,'00_Eingabe'!$B$62/'00_Eingabe'!$B$61)</x:f>
        <x:v>0</x:v>
      </x:c>
      <x:c r="T155" s="213" t="n">
        <x:f>IF(B155="Betriebsferien",0,IF(B155="Nebensaison",IF(OR(WEEKDAY(A155,2)=1,WEEKDAY(A155,2)=3,WEEKDAY(A155,2)=5),1,0),IF(C155="Unterwoche",1,0)))</x:f>
        <x:v>0</x:v>
      </x:c>
      <x:c r="U155" s="213" t="n">
        <x:f>IF(B155="Betriebsferien",0,'00_Eingabe'!$G$24)</x:f>
        <x:v>8</x:v>
      </x:c>
    </x:row>
    <x:row r="156">
      <x:c r="A156" s="121" t="n">
        <x:f>IF(ROW()-4&lt;DATE('00_Eingabe'!$B$7+1,1,1)-DATE('00_Eingabe'!$B$7,1,1),DATE('00_Eingabe'!$B$7,1,1)+ROW()-4,"")</x:f>
        <x:v>45810</x:v>
      </x:c>
      <x:c r="B156" s="122" t="str">
        <x:f>IF(A156="","",IF(OR(AND(MONTH(A156)=12,DAY(A156)&gt;=20),AND(MONTH(A156)=1,DAY(A156)&lt;=2)),"Weihnachten",IF(OR(AND(MONTH(A156)=11,DAY(A156)&gt;=24),AND(MONTH(A156)=12,DAY(A156)&lt;=7)),"Betriebsferien",IF(OR(AND(MONTH(A156)=1,DAY(A156)&gt;=3),MONTH(A156)=2,MONTH(A156)=3,MONTH(A156)=4,MONTH(A156)=10,MONTH(A156)=11,AND(MONTH(A156)=12,DAY(A156)&lt;=15)),"Nebensaison","Hauptsaison"))))</x:f>
        <x:v>Hauptsaison</x:v>
      </x:c>
      <x:c r="C156" s="122" t="str">
        <x:f>IF(A156="","",IF(WEEKDAY(A156,2)&gt;=6,"Wochenende","Unterwoche"))</x:f>
        <x:v>Unterwoche</x:v>
      </x:c>
      <x:c r="D156" s="123" t="n">
        <x:f>IF(A156="","",IF(N156&lt;&gt;"",N156,IF(B156="Nebensaison",IF(C156="Wochenende",'00_Eingabe'!$C$24,'00_Eingabe'!$B$24),IF(B156="Hauptsaison",IF(C156="Wochenende",'00_Eingabe'!$C$25,'00_Eingabe'!$B$25),IF(B156="Weihnachten",IF(C156="Wochenende",'00_Eingabe'!$C$26,'00_Eingabe'!$B$26),IF(C156="Wochenende",'00_Eingabe'!$C$27,'00_Eingabe'!$B$27))))))</x:f>
        <x:v>0.85</x:v>
      </x:c>
      <x:c r="E156" s="122" t="n">
        <x:f>IF(OR(A156="",D156=""),"",ROUND('00_Eingabe'!$B$8*D156,0))</x:f>
        <x:v>30</x:v>
      </x:c>
      <x:c r="F156" s="122" t="n">
        <x:f>IF(E156="","",ROUND(E156*'00_Eingabe'!$B$18,0))</x:f>
        <x:v>57</x:v>
      </x:c>
      <x:c r="G156" s="123" t="n">
        <x:f>IF(A156="","",IF(O156&lt;&gt;"",O156,IF(B156="Nebensaison",IF(C156="Wochenende",'00_Eingabe'!$E$24,'00_Eingabe'!$D$24),IF(B156="Hauptsaison",IF(C156="Wochenende",'00_Eingabe'!$E$25,'00_Eingabe'!$D$25),IF(B156="Weihnachten",IF(C156="Wochenende",'00_Eingabe'!$E$26,'00_Eingabe'!$D$26),IF(C156="Wochenende",'00_Eingabe'!$E$27,'00_Eingabe'!$D$27))))))</x:f>
        <x:v>0.85</x:v>
      </x:c>
      <x:c r="H156" s="122" t="n">
        <x:f>IF(OR(A156="",G156=""),"",ROUND('00_Eingabe'!$B$9*G156,0))</x:f>
        <x:v>3</x:v>
      </x:c>
      <x:c r="I156" s="122" t="n">
        <x:f>IF(H156="","",ROUND(H156*'00_Eingabe'!$B$19,0))</x:f>
        <x:v>7</x:v>
      </x:c>
      <x:c r="J156" s="122" t="n">
        <x:f>IF(OR(F156="",I156=""),"",F156+I156)</x:f>
        <x:v>64</x:v>
      </x:c>
      <x:c r="K156" s="122" t="n">
        <x:f>IF(J156="","",ROUND(J156*'00_Eingabe'!$B$16*(1+'00_Eingabe'!$B$14),0))</x:f>
        <x:v>74</x:v>
      </x:c>
      <x:c r="L156" s="122" t="n">
        <x:f>IF(B156="Betriebsferien",0,ROUND(J156*'00_Eingabe'!$B$40,0)+IF(C156="Wochenende",'00_Eingabe'!$B$42,'00_Eingabe'!$B$41))</x:f>
        <x:v>63</x:v>
      </x:c>
      <x:c r="M156" s="123" t="n">
        <x:f>IF(J156="","",ROUND(J156*'00_Eingabe'!$B$17*(1+'00_Eingabe'!$B$15),0))</x:f>
        <x:v>74</x:v>
      </x:c>
      <x:c r="N156" s="106"/>
      <x:c r="O156" s="106"/>
      <x:c r="P156" s="116"/>
      <x:c r="Q156" s="213" t="n">
        <x:f>IF(C156="Wochenende",1,0)</x:f>
        <x:v>0</x:v>
      </x:c>
      <x:c r="R156" s="213" t="n">
        <x:f>IF(AND(B156&lt;&gt;"Betriebsferien",OR(WEEKDAY(A156,2)=2,WEEKDAY(A156,2)=4)),1,0)</x:f>
        <x:v>0</x:v>
      </x:c>
      <x:c r="S156" s="214" t="n">
        <x:f>R156*MIN(1,'00_Eingabe'!$B$62/'00_Eingabe'!$B$61)</x:f>
        <x:v>0</x:v>
      </x:c>
      <x:c r="T156" s="213" t="n">
        <x:f>IF(B156="Betriebsferien",0,IF(B156="Nebensaison",IF(OR(WEEKDAY(A156,2)=1,WEEKDAY(A156,2)=3,WEEKDAY(A156,2)=5),1,0),IF(C156="Unterwoche",1,0)))</x:f>
        <x:v>1</x:v>
      </x:c>
      <x:c r="U156" s="213" t="n">
        <x:f>IF(B156="Betriebsferien",0,'00_Eingabe'!$G$24)</x:f>
        <x:v>8</x:v>
      </x:c>
    </x:row>
    <x:row r="157">
      <x:c r="A157" s="121" t="n">
        <x:f>IF(ROW()-4&lt;DATE('00_Eingabe'!$B$7+1,1,1)-DATE('00_Eingabe'!$B$7,1,1),DATE('00_Eingabe'!$B$7,1,1)+ROW()-4,"")</x:f>
        <x:v>45811</x:v>
      </x:c>
      <x:c r="B157" s="122" t="str">
        <x:f>IF(A157="","",IF(OR(AND(MONTH(A157)=12,DAY(A157)&gt;=20),AND(MONTH(A157)=1,DAY(A157)&lt;=2)),"Weihnachten",IF(OR(AND(MONTH(A157)=11,DAY(A157)&gt;=24),AND(MONTH(A157)=12,DAY(A157)&lt;=7)),"Betriebsferien",IF(OR(AND(MONTH(A157)=1,DAY(A157)&gt;=3),MONTH(A157)=2,MONTH(A157)=3,MONTH(A157)=4,MONTH(A157)=10,MONTH(A157)=11,AND(MONTH(A157)=12,DAY(A157)&lt;=15)),"Nebensaison","Hauptsaison"))))</x:f>
        <x:v>Hauptsaison</x:v>
      </x:c>
      <x:c r="C157" s="122" t="str">
        <x:f>IF(A157="","",IF(WEEKDAY(A157,2)&gt;=6,"Wochenende","Unterwoche"))</x:f>
        <x:v>Unterwoche</x:v>
      </x:c>
      <x:c r="D157" s="123" t="n">
        <x:f>IF(A157="","",IF(N157&lt;&gt;"",N157,IF(B157="Nebensaison",IF(C157="Wochenende",'00_Eingabe'!$C$24,'00_Eingabe'!$B$24),IF(B157="Hauptsaison",IF(C157="Wochenende",'00_Eingabe'!$C$25,'00_Eingabe'!$B$25),IF(B157="Weihnachten",IF(C157="Wochenende",'00_Eingabe'!$C$26,'00_Eingabe'!$B$26),IF(C157="Wochenende",'00_Eingabe'!$C$27,'00_Eingabe'!$B$27))))))</x:f>
        <x:v>0.85</x:v>
      </x:c>
      <x:c r="E157" s="122" t="n">
        <x:f>IF(OR(A157="",D157=""),"",ROUND('00_Eingabe'!$B$8*D157,0))</x:f>
        <x:v>30</x:v>
      </x:c>
      <x:c r="F157" s="122" t="n">
        <x:f>IF(E157="","",ROUND(E157*'00_Eingabe'!$B$18,0))</x:f>
        <x:v>57</x:v>
      </x:c>
      <x:c r="G157" s="123" t="n">
        <x:f>IF(A157="","",IF(O157&lt;&gt;"",O157,IF(B157="Nebensaison",IF(C157="Wochenende",'00_Eingabe'!$E$24,'00_Eingabe'!$D$24),IF(B157="Hauptsaison",IF(C157="Wochenende",'00_Eingabe'!$E$25,'00_Eingabe'!$D$25),IF(B157="Weihnachten",IF(C157="Wochenende",'00_Eingabe'!$E$26,'00_Eingabe'!$D$26),IF(C157="Wochenende",'00_Eingabe'!$E$27,'00_Eingabe'!$D$27))))))</x:f>
        <x:v>0.85</x:v>
      </x:c>
      <x:c r="H157" s="122" t="n">
        <x:f>IF(OR(A157="",G157=""),"",ROUND('00_Eingabe'!$B$9*G157,0))</x:f>
        <x:v>3</x:v>
      </x:c>
      <x:c r="I157" s="122" t="n">
        <x:f>IF(H157="","",ROUND(H157*'00_Eingabe'!$B$19,0))</x:f>
        <x:v>7</x:v>
      </x:c>
      <x:c r="J157" s="122" t="n">
        <x:f>IF(OR(F157="",I157=""),"",F157+I157)</x:f>
        <x:v>64</x:v>
      </x:c>
      <x:c r="K157" s="122" t="n">
        <x:f>IF(J157="","",ROUND(J157*'00_Eingabe'!$B$16*(1+'00_Eingabe'!$B$14),0))</x:f>
        <x:v>74</x:v>
      </x:c>
      <x:c r="L157" s="122" t="n">
        <x:f>IF(B157="Betriebsferien",0,ROUND(J157*'00_Eingabe'!$B$40,0)+IF(C157="Wochenende",'00_Eingabe'!$B$42,'00_Eingabe'!$B$41))</x:f>
        <x:v>63</x:v>
      </x:c>
      <x:c r="M157" s="123" t="n">
        <x:f>IF(J157="","",ROUND(J157*'00_Eingabe'!$B$17*(1+'00_Eingabe'!$B$15),0))</x:f>
        <x:v>74</x:v>
      </x:c>
      <x:c r="N157" s="106"/>
      <x:c r="O157" s="106"/>
      <x:c r="P157" s="116"/>
      <x:c r="Q157" s="213" t="n">
        <x:f>IF(C157="Wochenende",1,0)</x:f>
        <x:v>0</x:v>
      </x:c>
      <x:c r="R157" s="213" t="n">
        <x:f>IF(AND(B157&lt;&gt;"Betriebsferien",OR(WEEKDAY(A157,2)=2,WEEKDAY(A157,2)=4)),1,0)</x:f>
        <x:v>1</x:v>
      </x:c>
      <x:c r="S157" s="214" t="n">
        <x:f>R157*MIN(1,'00_Eingabe'!$B$62/'00_Eingabe'!$B$61)</x:f>
        <x:v>0.5</x:v>
      </x:c>
      <x:c r="T157" s="213" t="n">
        <x:f>IF(B157="Betriebsferien",0,IF(B157="Nebensaison",IF(OR(WEEKDAY(A157,2)=1,WEEKDAY(A157,2)=3,WEEKDAY(A157,2)=5),1,0),IF(C157="Unterwoche",1,0)))</x:f>
        <x:v>1</x:v>
      </x:c>
      <x:c r="U157" s="213" t="n">
        <x:f>IF(B157="Betriebsferien",0,'00_Eingabe'!$G$24)</x:f>
        <x:v>8</x:v>
      </x:c>
    </x:row>
    <x:row r="158">
      <x:c r="A158" s="121" t="n">
        <x:f>IF(ROW()-4&lt;DATE('00_Eingabe'!$B$7+1,1,1)-DATE('00_Eingabe'!$B$7,1,1),DATE('00_Eingabe'!$B$7,1,1)+ROW()-4,"")</x:f>
        <x:v>45812</x:v>
      </x:c>
      <x:c r="B158" s="122" t="str">
        <x:f>IF(A158="","",IF(OR(AND(MONTH(A158)=12,DAY(A158)&gt;=20),AND(MONTH(A158)=1,DAY(A158)&lt;=2)),"Weihnachten",IF(OR(AND(MONTH(A158)=11,DAY(A158)&gt;=24),AND(MONTH(A158)=12,DAY(A158)&lt;=7)),"Betriebsferien",IF(OR(AND(MONTH(A158)=1,DAY(A158)&gt;=3),MONTH(A158)=2,MONTH(A158)=3,MONTH(A158)=4,MONTH(A158)=10,MONTH(A158)=11,AND(MONTH(A158)=12,DAY(A158)&lt;=15)),"Nebensaison","Hauptsaison"))))</x:f>
        <x:v>Hauptsaison</x:v>
      </x:c>
      <x:c r="C158" s="122" t="str">
        <x:f>IF(A158="","",IF(WEEKDAY(A158,2)&gt;=6,"Wochenende","Unterwoche"))</x:f>
        <x:v>Unterwoche</x:v>
      </x:c>
      <x:c r="D158" s="123" t="n">
        <x:f>IF(A158="","",IF(N158&lt;&gt;"",N158,IF(B158="Nebensaison",IF(C158="Wochenende",'00_Eingabe'!$C$24,'00_Eingabe'!$B$24),IF(B158="Hauptsaison",IF(C158="Wochenende",'00_Eingabe'!$C$25,'00_Eingabe'!$B$25),IF(B158="Weihnachten",IF(C158="Wochenende",'00_Eingabe'!$C$26,'00_Eingabe'!$B$26),IF(C158="Wochenende",'00_Eingabe'!$C$27,'00_Eingabe'!$B$27))))))</x:f>
        <x:v>0.85</x:v>
      </x:c>
      <x:c r="E158" s="122" t="n">
        <x:f>IF(OR(A158="",D158=""),"",ROUND('00_Eingabe'!$B$8*D158,0))</x:f>
        <x:v>30</x:v>
      </x:c>
      <x:c r="F158" s="122" t="n">
        <x:f>IF(E158="","",ROUND(E158*'00_Eingabe'!$B$18,0))</x:f>
        <x:v>57</x:v>
      </x:c>
      <x:c r="G158" s="123" t="n">
        <x:f>IF(A158="","",IF(O158&lt;&gt;"",O158,IF(B158="Nebensaison",IF(C158="Wochenende",'00_Eingabe'!$E$24,'00_Eingabe'!$D$24),IF(B158="Hauptsaison",IF(C158="Wochenende",'00_Eingabe'!$E$25,'00_Eingabe'!$D$25),IF(B158="Weihnachten",IF(C158="Wochenende",'00_Eingabe'!$E$26,'00_Eingabe'!$D$26),IF(C158="Wochenende",'00_Eingabe'!$E$27,'00_Eingabe'!$D$27))))))</x:f>
        <x:v>0.85</x:v>
      </x:c>
      <x:c r="H158" s="122" t="n">
        <x:f>IF(OR(A158="",G158=""),"",ROUND('00_Eingabe'!$B$9*G158,0))</x:f>
        <x:v>3</x:v>
      </x:c>
      <x:c r="I158" s="122" t="n">
        <x:f>IF(H158="","",ROUND(H158*'00_Eingabe'!$B$19,0))</x:f>
        <x:v>7</x:v>
      </x:c>
      <x:c r="J158" s="122" t="n">
        <x:f>IF(OR(F158="",I158=""),"",F158+I158)</x:f>
        <x:v>64</x:v>
      </x:c>
      <x:c r="K158" s="122" t="n">
        <x:f>IF(J158="","",ROUND(J158*'00_Eingabe'!$B$16*(1+'00_Eingabe'!$B$14),0))</x:f>
        <x:v>74</x:v>
      </x:c>
      <x:c r="L158" s="122" t="n">
        <x:f>IF(B158="Betriebsferien",0,ROUND(J158*'00_Eingabe'!$B$40,0)+IF(C158="Wochenende",'00_Eingabe'!$B$42,'00_Eingabe'!$B$41))</x:f>
        <x:v>63</x:v>
      </x:c>
      <x:c r="M158" s="123" t="n">
        <x:f>IF(J158="","",ROUND(J158*'00_Eingabe'!$B$17*(1+'00_Eingabe'!$B$15),0))</x:f>
        <x:v>74</x:v>
      </x:c>
      <x:c r="N158" s="106"/>
      <x:c r="O158" s="106"/>
      <x:c r="P158" s="116"/>
      <x:c r="Q158" s="213" t="n">
        <x:f>IF(C158="Wochenende",1,0)</x:f>
        <x:v>0</x:v>
      </x:c>
      <x:c r="R158" s="213" t="n">
        <x:f>IF(AND(B158&lt;&gt;"Betriebsferien",OR(WEEKDAY(A158,2)=2,WEEKDAY(A158,2)=4)),1,0)</x:f>
        <x:v>0</x:v>
      </x:c>
      <x:c r="S158" s="214" t="n">
        <x:f>R158*MIN(1,'00_Eingabe'!$B$62/'00_Eingabe'!$B$61)</x:f>
        <x:v>0</x:v>
      </x:c>
      <x:c r="T158" s="213" t="n">
        <x:f>IF(B158="Betriebsferien",0,IF(B158="Nebensaison",IF(OR(WEEKDAY(A158,2)=1,WEEKDAY(A158,2)=3,WEEKDAY(A158,2)=5),1,0),IF(C158="Unterwoche",1,0)))</x:f>
        <x:v>1</x:v>
      </x:c>
      <x:c r="U158" s="213" t="n">
        <x:f>IF(B158="Betriebsferien",0,'00_Eingabe'!$G$24)</x:f>
        <x:v>8</x:v>
      </x:c>
    </x:row>
    <x:row r="159">
      <x:c r="A159" s="121" t="n">
        <x:f>IF(ROW()-4&lt;DATE('00_Eingabe'!$B$7+1,1,1)-DATE('00_Eingabe'!$B$7,1,1),DATE('00_Eingabe'!$B$7,1,1)+ROW()-4,"")</x:f>
        <x:v>45813</x:v>
      </x:c>
      <x:c r="B159" s="122" t="str">
        <x:f>IF(A159="","",IF(OR(AND(MONTH(A159)=12,DAY(A159)&gt;=20),AND(MONTH(A159)=1,DAY(A159)&lt;=2)),"Weihnachten",IF(OR(AND(MONTH(A159)=11,DAY(A159)&gt;=24),AND(MONTH(A159)=12,DAY(A159)&lt;=7)),"Betriebsferien",IF(OR(AND(MONTH(A159)=1,DAY(A159)&gt;=3),MONTH(A159)=2,MONTH(A159)=3,MONTH(A159)=4,MONTH(A159)=10,MONTH(A159)=11,AND(MONTH(A159)=12,DAY(A159)&lt;=15)),"Nebensaison","Hauptsaison"))))</x:f>
        <x:v>Hauptsaison</x:v>
      </x:c>
      <x:c r="C159" s="122" t="str">
        <x:f>IF(A159="","",IF(WEEKDAY(A159,2)&gt;=6,"Wochenende","Unterwoche"))</x:f>
        <x:v>Unterwoche</x:v>
      </x:c>
      <x:c r="D159" s="123" t="n">
        <x:f>IF(A159="","",IF(N159&lt;&gt;"",N159,IF(B159="Nebensaison",IF(C159="Wochenende",'00_Eingabe'!$C$24,'00_Eingabe'!$B$24),IF(B159="Hauptsaison",IF(C159="Wochenende",'00_Eingabe'!$C$25,'00_Eingabe'!$B$25),IF(B159="Weihnachten",IF(C159="Wochenende",'00_Eingabe'!$C$26,'00_Eingabe'!$B$26),IF(C159="Wochenende",'00_Eingabe'!$C$27,'00_Eingabe'!$B$27))))))</x:f>
        <x:v>0.85</x:v>
      </x:c>
      <x:c r="E159" s="122" t="n">
        <x:f>IF(OR(A159="",D159=""),"",ROUND('00_Eingabe'!$B$8*D159,0))</x:f>
        <x:v>30</x:v>
      </x:c>
      <x:c r="F159" s="122" t="n">
        <x:f>IF(E159="","",ROUND(E159*'00_Eingabe'!$B$18,0))</x:f>
        <x:v>57</x:v>
      </x:c>
      <x:c r="G159" s="123" t="n">
        <x:f>IF(A159="","",IF(O159&lt;&gt;"",O159,IF(B159="Nebensaison",IF(C159="Wochenende",'00_Eingabe'!$E$24,'00_Eingabe'!$D$24),IF(B159="Hauptsaison",IF(C159="Wochenende",'00_Eingabe'!$E$25,'00_Eingabe'!$D$25),IF(B159="Weihnachten",IF(C159="Wochenende",'00_Eingabe'!$E$26,'00_Eingabe'!$D$26),IF(C159="Wochenende",'00_Eingabe'!$E$27,'00_Eingabe'!$D$27))))))</x:f>
        <x:v>0.85</x:v>
      </x:c>
      <x:c r="H159" s="122" t="n">
        <x:f>IF(OR(A159="",G159=""),"",ROUND('00_Eingabe'!$B$9*G159,0))</x:f>
        <x:v>3</x:v>
      </x:c>
      <x:c r="I159" s="122" t="n">
        <x:f>IF(H159="","",ROUND(H159*'00_Eingabe'!$B$19,0))</x:f>
        <x:v>7</x:v>
      </x:c>
      <x:c r="J159" s="122" t="n">
        <x:f>IF(OR(F159="",I159=""),"",F159+I159)</x:f>
        <x:v>64</x:v>
      </x:c>
      <x:c r="K159" s="122" t="n">
        <x:f>IF(J159="","",ROUND(J159*'00_Eingabe'!$B$16*(1+'00_Eingabe'!$B$14),0))</x:f>
        <x:v>74</x:v>
      </x:c>
      <x:c r="L159" s="122" t="n">
        <x:f>IF(B159="Betriebsferien",0,ROUND(J159*'00_Eingabe'!$B$40,0)+IF(C159="Wochenende",'00_Eingabe'!$B$42,'00_Eingabe'!$B$41))</x:f>
        <x:v>63</x:v>
      </x:c>
      <x:c r="M159" s="123" t="n">
        <x:f>IF(J159="","",ROUND(J159*'00_Eingabe'!$B$17*(1+'00_Eingabe'!$B$15),0))</x:f>
        <x:v>74</x:v>
      </x:c>
      <x:c r="N159" s="106"/>
      <x:c r="O159" s="106"/>
      <x:c r="P159" s="116"/>
      <x:c r="Q159" s="213" t="n">
        <x:f>IF(C159="Wochenende",1,0)</x:f>
        <x:v>0</x:v>
      </x:c>
      <x:c r="R159" s="213" t="n">
        <x:f>IF(AND(B159&lt;&gt;"Betriebsferien",OR(WEEKDAY(A159,2)=2,WEEKDAY(A159,2)=4)),1,0)</x:f>
        <x:v>1</x:v>
      </x:c>
      <x:c r="S159" s="214" t="n">
        <x:f>R159*MIN(1,'00_Eingabe'!$B$62/'00_Eingabe'!$B$61)</x:f>
        <x:v>0.5</x:v>
      </x:c>
      <x:c r="T159" s="213" t="n">
        <x:f>IF(B159="Betriebsferien",0,IF(B159="Nebensaison",IF(OR(WEEKDAY(A159,2)=1,WEEKDAY(A159,2)=3,WEEKDAY(A159,2)=5),1,0),IF(C159="Unterwoche",1,0)))</x:f>
        <x:v>1</x:v>
      </x:c>
      <x:c r="U159" s="213" t="n">
        <x:f>IF(B159="Betriebsferien",0,'00_Eingabe'!$G$24)</x:f>
        <x:v>8</x:v>
      </x:c>
    </x:row>
    <x:row r="160">
      <x:c r="A160" s="121" t="n">
        <x:f>IF(ROW()-4&lt;DATE('00_Eingabe'!$B$7+1,1,1)-DATE('00_Eingabe'!$B$7,1,1),DATE('00_Eingabe'!$B$7,1,1)+ROW()-4,"")</x:f>
        <x:v>45814</x:v>
      </x:c>
      <x:c r="B160" s="122" t="str">
        <x:f>IF(A160="","",IF(OR(AND(MONTH(A160)=12,DAY(A160)&gt;=20),AND(MONTH(A160)=1,DAY(A160)&lt;=2)),"Weihnachten",IF(OR(AND(MONTH(A160)=11,DAY(A160)&gt;=24),AND(MONTH(A160)=12,DAY(A160)&lt;=7)),"Betriebsferien",IF(OR(AND(MONTH(A160)=1,DAY(A160)&gt;=3),MONTH(A160)=2,MONTH(A160)=3,MONTH(A160)=4,MONTH(A160)=10,MONTH(A160)=11,AND(MONTH(A160)=12,DAY(A160)&lt;=15)),"Nebensaison","Hauptsaison"))))</x:f>
        <x:v>Hauptsaison</x:v>
      </x:c>
      <x:c r="C160" s="122" t="str">
        <x:f>IF(A160="","",IF(WEEKDAY(A160,2)&gt;=6,"Wochenende","Unterwoche"))</x:f>
        <x:v>Unterwoche</x:v>
      </x:c>
      <x:c r="D160" s="123" t="n">
        <x:f>IF(A160="","",IF(N160&lt;&gt;"",N160,IF(B160="Nebensaison",IF(C160="Wochenende",'00_Eingabe'!$C$24,'00_Eingabe'!$B$24),IF(B160="Hauptsaison",IF(C160="Wochenende",'00_Eingabe'!$C$25,'00_Eingabe'!$B$25),IF(B160="Weihnachten",IF(C160="Wochenende",'00_Eingabe'!$C$26,'00_Eingabe'!$B$26),IF(C160="Wochenende",'00_Eingabe'!$C$27,'00_Eingabe'!$B$27))))))</x:f>
        <x:v>0.85</x:v>
      </x:c>
      <x:c r="E160" s="122" t="n">
        <x:f>IF(OR(A160="",D160=""),"",ROUND('00_Eingabe'!$B$8*D160,0))</x:f>
        <x:v>30</x:v>
      </x:c>
      <x:c r="F160" s="122" t="n">
        <x:f>IF(E160="","",ROUND(E160*'00_Eingabe'!$B$18,0))</x:f>
        <x:v>57</x:v>
      </x:c>
      <x:c r="G160" s="123" t="n">
        <x:f>IF(A160="","",IF(O160&lt;&gt;"",O160,IF(B160="Nebensaison",IF(C160="Wochenende",'00_Eingabe'!$E$24,'00_Eingabe'!$D$24),IF(B160="Hauptsaison",IF(C160="Wochenende",'00_Eingabe'!$E$25,'00_Eingabe'!$D$25),IF(B160="Weihnachten",IF(C160="Wochenende",'00_Eingabe'!$E$26,'00_Eingabe'!$D$26),IF(C160="Wochenende",'00_Eingabe'!$E$27,'00_Eingabe'!$D$27))))))</x:f>
        <x:v>0.85</x:v>
      </x:c>
      <x:c r="H160" s="122" t="n">
        <x:f>IF(OR(A160="",G160=""),"",ROUND('00_Eingabe'!$B$9*G160,0))</x:f>
        <x:v>3</x:v>
      </x:c>
      <x:c r="I160" s="122" t="n">
        <x:f>IF(H160="","",ROUND(H160*'00_Eingabe'!$B$19,0))</x:f>
        <x:v>7</x:v>
      </x:c>
      <x:c r="J160" s="122" t="n">
        <x:f>IF(OR(F160="",I160=""),"",F160+I160)</x:f>
        <x:v>64</x:v>
      </x:c>
      <x:c r="K160" s="122" t="n">
        <x:f>IF(J160="","",ROUND(J160*'00_Eingabe'!$B$16*(1+'00_Eingabe'!$B$14),0))</x:f>
        <x:v>74</x:v>
      </x:c>
      <x:c r="L160" s="122" t="n">
        <x:f>IF(B160="Betriebsferien",0,ROUND(J160*'00_Eingabe'!$B$40,0)+IF(C160="Wochenende",'00_Eingabe'!$B$42,'00_Eingabe'!$B$41))</x:f>
        <x:v>63</x:v>
      </x:c>
      <x:c r="M160" s="123" t="n">
        <x:f>IF(J160="","",ROUND(J160*'00_Eingabe'!$B$17*(1+'00_Eingabe'!$B$15),0))</x:f>
        <x:v>74</x:v>
      </x:c>
      <x:c r="N160" s="106"/>
      <x:c r="O160" s="106"/>
      <x:c r="P160" s="116"/>
      <x:c r="Q160" s="213" t="n">
        <x:f>IF(C160="Wochenende",1,0)</x:f>
        <x:v>0</x:v>
      </x:c>
      <x:c r="R160" s="213" t="n">
        <x:f>IF(AND(B160&lt;&gt;"Betriebsferien",OR(WEEKDAY(A160,2)=2,WEEKDAY(A160,2)=4)),1,0)</x:f>
        <x:v>0</x:v>
      </x:c>
      <x:c r="S160" s="214" t="n">
        <x:f>R160*MIN(1,'00_Eingabe'!$B$62/'00_Eingabe'!$B$61)</x:f>
        <x:v>0</x:v>
      </x:c>
      <x:c r="T160" s="213" t="n">
        <x:f>IF(B160="Betriebsferien",0,IF(B160="Nebensaison",IF(OR(WEEKDAY(A160,2)=1,WEEKDAY(A160,2)=3,WEEKDAY(A160,2)=5),1,0),IF(C160="Unterwoche",1,0)))</x:f>
        <x:v>1</x:v>
      </x:c>
      <x:c r="U160" s="213" t="n">
        <x:f>IF(B160="Betriebsferien",0,'00_Eingabe'!$G$24)</x:f>
        <x:v>8</x:v>
      </x:c>
    </x:row>
    <x:row r="161">
      <x:c r="A161" s="121" t="n">
        <x:f>IF(ROW()-4&lt;DATE('00_Eingabe'!$B$7+1,1,1)-DATE('00_Eingabe'!$B$7,1,1),DATE('00_Eingabe'!$B$7,1,1)+ROW()-4,"")</x:f>
        <x:v>45815</x:v>
      </x:c>
      <x:c r="B161" s="122" t="str">
        <x:f>IF(A161="","",IF(OR(AND(MONTH(A161)=12,DAY(A161)&gt;=20),AND(MONTH(A161)=1,DAY(A161)&lt;=2)),"Weihnachten",IF(OR(AND(MONTH(A161)=11,DAY(A161)&gt;=24),AND(MONTH(A161)=12,DAY(A161)&lt;=7)),"Betriebsferien",IF(OR(AND(MONTH(A161)=1,DAY(A161)&gt;=3),MONTH(A161)=2,MONTH(A161)=3,MONTH(A161)=4,MONTH(A161)=10,MONTH(A161)=11,AND(MONTH(A161)=12,DAY(A161)&lt;=15)),"Nebensaison","Hauptsaison"))))</x:f>
        <x:v>Hauptsaison</x:v>
      </x:c>
      <x:c r="C161" s="122" t="str">
        <x:f>IF(A161="","",IF(WEEKDAY(A161,2)&gt;=6,"Wochenende","Unterwoche"))</x:f>
        <x:v>Wochenende</x:v>
      </x:c>
      <x:c r="D161" s="123" t="n">
        <x:f>IF(A161="","",IF(N161&lt;&gt;"",N161,IF(B161="Nebensaison",IF(C161="Wochenende",'00_Eingabe'!$C$24,'00_Eingabe'!$B$24),IF(B161="Hauptsaison",IF(C161="Wochenende",'00_Eingabe'!$C$25,'00_Eingabe'!$B$25),IF(B161="Weihnachten",IF(C161="Wochenende",'00_Eingabe'!$C$26,'00_Eingabe'!$B$26),IF(C161="Wochenende",'00_Eingabe'!$C$27,'00_Eingabe'!$B$27))))))</x:f>
        <x:v>0.9</x:v>
      </x:c>
      <x:c r="E161" s="122" t="n">
        <x:f>IF(OR(A161="",D161=""),"",ROUND('00_Eingabe'!$B$8*D161,0))</x:f>
        <x:v>32</x:v>
      </x:c>
      <x:c r="F161" s="122" t="n">
        <x:f>IF(E161="","",ROUND(E161*'00_Eingabe'!$B$18,0))</x:f>
        <x:v>61</x:v>
      </x:c>
      <x:c r="G161" s="123" t="n">
        <x:f>IF(A161="","",IF(O161&lt;&gt;"",O161,IF(B161="Nebensaison",IF(C161="Wochenende",'00_Eingabe'!$E$24,'00_Eingabe'!$D$24),IF(B161="Hauptsaison",IF(C161="Wochenende",'00_Eingabe'!$E$25,'00_Eingabe'!$D$25),IF(B161="Weihnachten",IF(C161="Wochenende",'00_Eingabe'!$E$26,'00_Eingabe'!$D$26),IF(C161="Wochenende",'00_Eingabe'!$E$27,'00_Eingabe'!$D$27))))))</x:f>
        <x:v>0.9</x:v>
      </x:c>
      <x:c r="H161" s="122" t="n">
        <x:f>IF(OR(A161="",G161=""),"",ROUND('00_Eingabe'!$B$9*G161,0))</x:f>
        <x:v>4</x:v>
      </x:c>
      <x:c r="I161" s="122" t="n">
        <x:f>IF(H161="","",ROUND(H161*'00_Eingabe'!$B$19,0))</x:f>
        <x:v>9</x:v>
      </x:c>
      <x:c r="J161" s="122" t="n">
        <x:f>IF(OR(F161="",I161=""),"",F161+I161)</x:f>
        <x:v>70</x:v>
      </x:c>
      <x:c r="K161" s="122" t="n">
        <x:f>IF(J161="","",ROUND(J161*'00_Eingabe'!$B$16*(1+'00_Eingabe'!$B$14),0))</x:f>
        <x:v>81</x:v>
      </x:c>
      <x:c r="L161" s="122" t="n">
        <x:f>IF(B161="Betriebsferien",0,ROUND(J161*'00_Eingabe'!$B$40,0)+IF(C161="Wochenende",'00_Eingabe'!$B$42,'00_Eingabe'!$B$41))</x:f>
        <x:v>93</x:v>
      </x:c>
      <x:c r="M161" s="123" t="n">
        <x:f>IF(J161="","",ROUND(J161*'00_Eingabe'!$B$17*(1+'00_Eingabe'!$B$15),0))</x:f>
        <x:v>81</x:v>
      </x:c>
      <x:c r="N161" s="106"/>
      <x:c r="O161" s="106"/>
      <x:c r="P161" s="116"/>
      <x:c r="Q161" s="213" t="n">
        <x:f>IF(C161="Wochenende",1,0)</x:f>
        <x:v>1</x:v>
      </x:c>
      <x:c r="R161" s="213" t="n">
        <x:f>IF(AND(B161&lt;&gt;"Betriebsferien",OR(WEEKDAY(A161,2)=2,WEEKDAY(A161,2)=4)),1,0)</x:f>
        <x:v>0</x:v>
      </x:c>
      <x:c r="S161" s="214" t="n">
        <x:f>R161*MIN(1,'00_Eingabe'!$B$62/'00_Eingabe'!$B$61)</x:f>
        <x:v>0</x:v>
      </x:c>
      <x:c r="T161" s="213" t="n">
        <x:f>IF(B161="Betriebsferien",0,IF(B161="Nebensaison",IF(OR(WEEKDAY(A161,2)=1,WEEKDAY(A161,2)=3,WEEKDAY(A161,2)=5),1,0),IF(C161="Unterwoche",1,0)))</x:f>
        <x:v>0</x:v>
      </x:c>
      <x:c r="U161" s="213" t="n">
        <x:f>IF(B161="Betriebsferien",0,'00_Eingabe'!$G$24)</x:f>
        <x:v>8</x:v>
      </x:c>
    </x:row>
    <x:row r="162">
      <x:c r="A162" s="121" t="n">
        <x:f>IF(ROW()-4&lt;DATE('00_Eingabe'!$B$7+1,1,1)-DATE('00_Eingabe'!$B$7,1,1),DATE('00_Eingabe'!$B$7,1,1)+ROW()-4,"")</x:f>
        <x:v>45816</x:v>
      </x:c>
      <x:c r="B162" s="122" t="str">
        <x:f>IF(A162="","",IF(OR(AND(MONTH(A162)=12,DAY(A162)&gt;=20),AND(MONTH(A162)=1,DAY(A162)&lt;=2)),"Weihnachten",IF(OR(AND(MONTH(A162)=11,DAY(A162)&gt;=24),AND(MONTH(A162)=12,DAY(A162)&lt;=7)),"Betriebsferien",IF(OR(AND(MONTH(A162)=1,DAY(A162)&gt;=3),MONTH(A162)=2,MONTH(A162)=3,MONTH(A162)=4,MONTH(A162)=10,MONTH(A162)=11,AND(MONTH(A162)=12,DAY(A162)&lt;=15)),"Nebensaison","Hauptsaison"))))</x:f>
        <x:v>Hauptsaison</x:v>
      </x:c>
      <x:c r="C162" s="122" t="str">
        <x:f>IF(A162="","",IF(WEEKDAY(A162,2)&gt;=6,"Wochenende","Unterwoche"))</x:f>
        <x:v>Wochenende</x:v>
      </x:c>
      <x:c r="D162" s="123" t="n">
        <x:f>IF(A162="","",IF(N162&lt;&gt;"",N162,IF(B162="Nebensaison",IF(C162="Wochenende",'00_Eingabe'!$C$24,'00_Eingabe'!$B$24),IF(B162="Hauptsaison",IF(C162="Wochenende",'00_Eingabe'!$C$25,'00_Eingabe'!$B$25),IF(B162="Weihnachten",IF(C162="Wochenende",'00_Eingabe'!$C$26,'00_Eingabe'!$B$26),IF(C162="Wochenende",'00_Eingabe'!$C$27,'00_Eingabe'!$B$27))))))</x:f>
        <x:v>0.9</x:v>
      </x:c>
      <x:c r="E162" s="122" t="n">
        <x:f>IF(OR(A162="",D162=""),"",ROUND('00_Eingabe'!$B$8*D162,0))</x:f>
        <x:v>32</x:v>
      </x:c>
      <x:c r="F162" s="122" t="n">
        <x:f>IF(E162="","",ROUND(E162*'00_Eingabe'!$B$18,0))</x:f>
        <x:v>61</x:v>
      </x:c>
      <x:c r="G162" s="123" t="n">
        <x:f>IF(A162="","",IF(O162&lt;&gt;"",O162,IF(B162="Nebensaison",IF(C162="Wochenende",'00_Eingabe'!$E$24,'00_Eingabe'!$D$24),IF(B162="Hauptsaison",IF(C162="Wochenende",'00_Eingabe'!$E$25,'00_Eingabe'!$D$25),IF(B162="Weihnachten",IF(C162="Wochenende",'00_Eingabe'!$E$26,'00_Eingabe'!$D$26),IF(C162="Wochenende",'00_Eingabe'!$E$27,'00_Eingabe'!$D$27))))))</x:f>
        <x:v>0.9</x:v>
      </x:c>
      <x:c r="H162" s="122" t="n">
        <x:f>IF(OR(A162="",G162=""),"",ROUND('00_Eingabe'!$B$9*G162,0))</x:f>
        <x:v>4</x:v>
      </x:c>
      <x:c r="I162" s="122" t="n">
        <x:f>IF(H162="","",ROUND(H162*'00_Eingabe'!$B$19,0))</x:f>
        <x:v>9</x:v>
      </x:c>
      <x:c r="J162" s="122" t="n">
        <x:f>IF(OR(F162="",I162=""),"",F162+I162)</x:f>
        <x:v>70</x:v>
      </x:c>
      <x:c r="K162" s="122" t="n">
        <x:f>IF(J162="","",ROUND(J162*'00_Eingabe'!$B$16*(1+'00_Eingabe'!$B$14),0))</x:f>
        <x:v>81</x:v>
      </x:c>
      <x:c r="L162" s="122" t="n">
        <x:f>IF(B162="Betriebsferien",0,ROUND(J162*'00_Eingabe'!$B$40,0)+IF(C162="Wochenende",'00_Eingabe'!$B$42,'00_Eingabe'!$B$41))</x:f>
        <x:v>93</x:v>
      </x:c>
      <x:c r="M162" s="123" t="n">
        <x:f>IF(J162="","",ROUND(J162*'00_Eingabe'!$B$17*(1+'00_Eingabe'!$B$15),0))</x:f>
        <x:v>81</x:v>
      </x:c>
      <x:c r="N162" s="106"/>
      <x:c r="O162" s="106"/>
      <x:c r="P162" s="116"/>
      <x:c r="Q162" s="213" t="n">
        <x:f>IF(C162="Wochenende",1,0)</x:f>
        <x:v>1</x:v>
      </x:c>
      <x:c r="R162" s="213" t="n">
        <x:f>IF(AND(B162&lt;&gt;"Betriebsferien",OR(WEEKDAY(A162,2)=2,WEEKDAY(A162,2)=4)),1,0)</x:f>
        <x:v>0</x:v>
      </x:c>
      <x:c r="S162" s="214" t="n">
        <x:f>R162*MIN(1,'00_Eingabe'!$B$62/'00_Eingabe'!$B$61)</x:f>
        <x:v>0</x:v>
      </x:c>
      <x:c r="T162" s="213" t="n">
        <x:f>IF(B162="Betriebsferien",0,IF(B162="Nebensaison",IF(OR(WEEKDAY(A162,2)=1,WEEKDAY(A162,2)=3,WEEKDAY(A162,2)=5),1,0),IF(C162="Unterwoche",1,0)))</x:f>
        <x:v>0</x:v>
      </x:c>
      <x:c r="U162" s="213" t="n">
        <x:f>IF(B162="Betriebsferien",0,'00_Eingabe'!$G$24)</x:f>
        <x:v>8</x:v>
      </x:c>
    </x:row>
    <x:row r="163">
      <x:c r="A163" s="121" t="n">
        <x:f>IF(ROW()-4&lt;DATE('00_Eingabe'!$B$7+1,1,1)-DATE('00_Eingabe'!$B$7,1,1),DATE('00_Eingabe'!$B$7,1,1)+ROW()-4,"")</x:f>
        <x:v>45817</x:v>
      </x:c>
      <x:c r="B163" s="122" t="str">
        <x:f>IF(A163="","",IF(OR(AND(MONTH(A163)=12,DAY(A163)&gt;=20),AND(MONTH(A163)=1,DAY(A163)&lt;=2)),"Weihnachten",IF(OR(AND(MONTH(A163)=11,DAY(A163)&gt;=24),AND(MONTH(A163)=12,DAY(A163)&lt;=7)),"Betriebsferien",IF(OR(AND(MONTH(A163)=1,DAY(A163)&gt;=3),MONTH(A163)=2,MONTH(A163)=3,MONTH(A163)=4,MONTH(A163)=10,MONTH(A163)=11,AND(MONTH(A163)=12,DAY(A163)&lt;=15)),"Nebensaison","Hauptsaison"))))</x:f>
        <x:v>Hauptsaison</x:v>
      </x:c>
      <x:c r="C163" s="122" t="str">
        <x:f>IF(A163="","",IF(WEEKDAY(A163,2)&gt;=6,"Wochenende","Unterwoche"))</x:f>
        <x:v>Unterwoche</x:v>
      </x:c>
      <x:c r="D163" s="123" t="n">
        <x:f>IF(A163="","",IF(N163&lt;&gt;"",N163,IF(B163="Nebensaison",IF(C163="Wochenende",'00_Eingabe'!$C$24,'00_Eingabe'!$B$24),IF(B163="Hauptsaison",IF(C163="Wochenende",'00_Eingabe'!$C$25,'00_Eingabe'!$B$25),IF(B163="Weihnachten",IF(C163="Wochenende",'00_Eingabe'!$C$26,'00_Eingabe'!$B$26),IF(C163="Wochenende",'00_Eingabe'!$C$27,'00_Eingabe'!$B$27))))))</x:f>
        <x:v>0.85</x:v>
      </x:c>
      <x:c r="E163" s="122" t="n">
        <x:f>IF(OR(A163="",D163=""),"",ROUND('00_Eingabe'!$B$8*D163,0))</x:f>
        <x:v>30</x:v>
      </x:c>
      <x:c r="F163" s="122" t="n">
        <x:f>IF(E163="","",ROUND(E163*'00_Eingabe'!$B$18,0))</x:f>
        <x:v>57</x:v>
      </x:c>
      <x:c r="G163" s="123" t="n">
        <x:f>IF(A163="","",IF(O163&lt;&gt;"",O163,IF(B163="Nebensaison",IF(C163="Wochenende",'00_Eingabe'!$E$24,'00_Eingabe'!$D$24),IF(B163="Hauptsaison",IF(C163="Wochenende",'00_Eingabe'!$E$25,'00_Eingabe'!$D$25),IF(B163="Weihnachten",IF(C163="Wochenende",'00_Eingabe'!$E$26,'00_Eingabe'!$D$26),IF(C163="Wochenende",'00_Eingabe'!$E$27,'00_Eingabe'!$D$27))))))</x:f>
        <x:v>0.85</x:v>
      </x:c>
      <x:c r="H163" s="122" t="n">
        <x:f>IF(OR(A163="",G163=""),"",ROUND('00_Eingabe'!$B$9*G163,0))</x:f>
        <x:v>3</x:v>
      </x:c>
      <x:c r="I163" s="122" t="n">
        <x:f>IF(H163="","",ROUND(H163*'00_Eingabe'!$B$19,0))</x:f>
        <x:v>7</x:v>
      </x:c>
      <x:c r="J163" s="122" t="n">
        <x:f>IF(OR(F163="",I163=""),"",F163+I163)</x:f>
        <x:v>64</x:v>
      </x:c>
      <x:c r="K163" s="122" t="n">
        <x:f>IF(J163="","",ROUND(J163*'00_Eingabe'!$B$16*(1+'00_Eingabe'!$B$14),0))</x:f>
        <x:v>74</x:v>
      </x:c>
      <x:c r="L163" s="122" t="n">
        <x:f>IF(B163="Betriebsferien",0,ROUND(J163*'00_Eingabe'!$B$40,0)+IF(C163="Wochenende",'00_Eingabe'!$B$42,'00_Eingabe'!$B$41))</x:f>
        <x:v>63</x:v>
      </x:c>
      <x:c r="M163" s="123" t="n">
        <x:f>IF(J163="","",ROUND(J163*'00_Eingabe'!$B$17*(1+'00_Eingabe'!$B$15),0))</x:f>
        <x:v>74</x:v>
      </x:c>
      <x:c r="N163" s="106"/>
      <x:c r="O163" s="106"/>
      <x:c r="P163" s="116"/>
      <x:c r="Q163" s="213" t="n">
        <x:f>IF(C163="Wochenende",1,0)</x:f>
        <x:v>0</x:v>
      </x:c>
      <x:c r="R163" s="213" t="n">
        <x:f>IF(AND(B163&lt;&gt;"Betriebsferien",OR(WEEKDAY(A163,2)=2,WEEKDAY(A163,2)=4)),1,0)</x:f>
        <x:v>0</x:v>
      </x:c>
      <x:c r="S163" s="214" t="n">
        <x:f>R163*MIN(1,'00_Eingabe'!$B$62/'00_Eingabe'!$B$61)</x:f>
        <x:v>0</x:v>
      </x:c>
      <x:c r="T163" s="213" t="n">
        <x:f>IF(B163="Betriebsferien",0,IF(B163="Nebensaison",IF(OR(WEEKDAY(A163,2)=1,WEEKDAY(A163,2)=3,WEEKDAY(A163,2)=5),1,0),IF(C163="Unterwoche",1,0)))</x:f>
        <x:v>1</x:v>
      </x:c>
      <x:c r="U163" s="213" t="n">
        <x:f>IF(B163="Betriebsferien",0,'00_Eingabe'!$G$24)</x:f>
        <x:v>8</x:v>
      </x:c>
    </x:row>
    <x:row r="164">
      <x:c r="A164" s="121" t="n">
        <x:f>IF(ROW()-4&lt;DATE('00_Eingabe'!$B$7+1,1,1)-DATE('00_Eingabe'!$B$7,1,1),DATE('00_Eingabe'!$B$7,1,1)+ROW()-4,"")</x:f>
        <x:v>45818</x:v>
      </x:c>
      <x:c r="B164" s="122" t="str">
        <x:f>IF(A164="","",IF(OR(AND(MONTH(A164)=12,DAY(A164)&gt;=20),AND(MONTH(A164)=1,DAY(A164)&lt;=2)),"Weihnachten",IF(OR(AND(MONTH(A164)=11,DAY(A164)&gt;=24),AND(MONTH(A164)=12,DAY(A164)&lt;=7)),"Betriebsferien",IF(OR(AND(MONTH(A164)=1,DAY(A164)&gt;=3),MONTH(A164)=2,MONTH(A164)=3,MONTH(A164)=4,MONTH(A164)=10,MONTH(A164)=11,AND(MONTH(A164)=12,DAY(A164)&lt;=15)),"Nebensaison","Hauptsaison"))))</x:f>
        <x:v>Hauptsaison</x:v>
      </x:c>
      <x:c r="C164" s="122" t="str">
        <x:f>IF(A164="","",IF(WEEKDAY(A164,2)&gt;=6,"Wochenende","Unterwoche"))</x:f>
        <x:v>Unterwoche</x:v>
      </x:c>
      <x:c r="D164" s="123" t="n">
        <x:f>IF(A164="","",IF(N164&lt;&gt;"",N164,IF(B164="Nebensaison",IF(C164="Wochenende",'00_Eingabe'!$C$24,'00_Eingabe'!$B$24),IF(B164="Hauptsaison",IF(C164="Wochenende",'00_Eingabe'!$C$25,'00_Eingabe'!$B$25),IF(B164="Weihnachten",IF(C164="Wochenende",'00_Eingabe'!$C$26,'00_Eingabe'!$B$26),IF(C164="Wochenende",'00_Eingabe'!$C$27,'00_Eingabe'!$B$27))))))</x:f>
        <x:v>0.85</x:v>
      </x:c>
      <x:c r="E164" s="122" t="n">
        <x:f>IF(OR(A164="",D164=""),"",ROUND('00_Eingabe'!$B$8*D164,0))</x:f>
        <x:v>30</x:v>
      </x:c>
      <x:c r="F164" s="122" t="n">
        <x:f>IF(E164="","",ROUND(E164*'00_Eingabe'!$B$18,0))</x:f>
        <x:v>57</x:v>
      </x:c>
      <x:c r="G164" s="123" t="n">
        <x:f>IF(A164="","",IF(O164&lt;&gt;"",O164,IF(B164="Nebensaison",IF(C164="Wochenende",'00_Eingabe'!$E$24,'00_Eingabe'!$D$24),IF(B164="Hauptsaison",IF(C164="Wochenende",'00_Eingabe'!$E$25,'00_Eingabe'!$D$25),IF(B164="Weihnachten",IF(C164="Wochenende",'00_Eingabe'!$E$26,'00_Eingabe'!$D$26),IF(C164="Wochenende",'00_Eingabe'!$E$27,'00_Eingabe'!$D$27))))))</x:f>
        <x:v>0.85</x:v>
      </x:c>
      <x:c r="H164" s="122" t="n">
        <x:f>IF(OR(A164="",G164=""),"",ROUND('00_Eingabe'!$B$9*G164,0))</x:f>
        <x:v>3</x:v>
      </x:c>
      <x:c r="I164" s="122" t="n">
        <x:f>IF(H164="","",ROUND(H164*'00_Eingabe'!$B$19,0))</x:f>
        <x:v>7</x:v>
      </x:c>
      <x:c r="J164" s="122" t="n">
        <x:f>IF(OR(F164="",I164=""),"",F164+I164)</x:f>
        <x:v>64</x:v>
      </x:c>
      <x:c r="K164" s="122" t="n">
        <x:f>IF(J164="","",ROUND(J164*'00_Eingabe'!$B$16*(1+'00_Eingabe'!$B$14),0))</x:f>
        <x:v>74</x:v>
      </x:c>
      <x:c r="L164" s="122" t="n">
        <x:f>IF(B164="Betriebsferien",0,ROUND(J164*'00_Eingabe'!$B$40,0)+IF(C164="Wochenende",'00_Eingabe'!$B$42,'00_Eingabe'!$B$41))</x:f>
        <x:v>63</x:v>
      </x:c>
      <x:c r="M164" s="123" t="n">
        <x:f>IF(J164="","",ROUND(J164*'00_Eingabe'!$B$17*(1+'00_Eingabe'!$B$15),0))</x:f>
        <x:v>74</x:v>
      </x:c>
      <x:c r="N164" s="106"/>
      <x:c r="O164" s="106"/>
      <x:c r="P164" s="116"/>
      <x:c r="Q164" s="213" t="n">
        <x:f>IF(C164="Wochenende",1,0)</x:f>
        <x:v>0</x:v>
      </x:c>
      <x:c r="R164" s="213" t="n">
        <x:f>IF(AND(B164&lt;&gt;"Betriebsferien",OR(WEEKDAY(A164,2)=2,WEEKDAY(A164,2)=4)),1,0)</x:f>
        <x:v>1</x:v>
      </x:c>
      <x:c r="S164" s="214" t="n">
        <x:f>R164*MIN(1,'00_Eingabe'!$B$62/'00_Eingabe'!$B$61)</x:f>
        <x:v>0.5</x:v>
      </x:c>
      <x:c r="T164" s="213" t="n">
        <x:f>IF(B164="Betriebsferien",0,IF(B164="Nebensaison",IF(OR(WEEKDAY(A164,2)=1,WEEKDAY(A164,2)=3,WEEKDAY(A164,2)=5),1,0),IF(C164="Unterwoche",1,0)))</x:f>
        <x:v>1</x:v>
      </x:c>
      <x:c r="U164" s="213" t="n">
        <x:f>IF(B164="Betriebsferien",0,'00_Eingabe'!$G$24)</x:f>
        <x:v>8</x:v>
      </x:c>
    </x:row>
    <x:row r="165">
      <x:c r="A165" s="121" t="n">
        <x:f>IF(ROW()-4&lt;DATE('00_Eingabe'!$B$7+1,1,1)-DATE('00_Eingabe'!$B$7,1,1),DATE('00_Eingabe'!$B$7,1,1)+ROW()-4,"")</x:f>
        <x:v>45819</x:v>
      </x:c>
      <x:c r="B165" s="122" t="str">
        <x:f>IF(A165="","",IF(OR(AND(MONTH(A165)=12,DAY(A165)&gt;=20),AND(MONTH(A165)=1,DAY(A165)&lt;=2)),"Weihnachten",IF(OR(AND(MONTH(A165)=11,DAY(A165)&gt;=24),AND(MONTH(A165)=12,DAY(A165)&lt;=7)),"Betriebsferien",IF(OR(AND(MONTH(A165)=1,DAY(A165)&gt;=3),MONTH(A165)=2,MONTH(A165)=3,MONTH(A165)=4,MONTH(A165)=10,MONTH(A165)=11,AND(MONTH(A165)=12,DAY(A165)&lt;=15)),"Nebensaison","Hauptsaison"))))</x:f>
        <x:v>Hauptsaison</x:v>
      </x:c>
      <x:c r="C165" s="122" t="str">
        <x:f>IF(A165="","",IF(WEEKDAY(A165,2)&gt;=6,"Wochenende","Unterwoche"))</x:f>
        <x:v>Unterwoche</x:v>
      </x:c>
      <x:c r="D165" s="123" t="n">
        <x:f>IF(A165="","",IF(N165&lt;&gt;"",N165,IF(B165="Nebensaison",IF(C165="Wochenende",'00_Eingabe'!$C$24,'00_Eingabe'!$B$24),IF(B165="Hauptsaison",IF(C165="Wochenende",'00_Eingabe'!$C$25,'00_Eingabe'!$B$25),IF(B165="Weihnachten",IF(C165="Wochenende",'00_Eingabe'!$C$26,'00_Eingabe'!$B$26),IF(C165="Wochenende",'00_Eingabe'!$C$27,'00_Eingabe'!$B$27))))))</x:f>
        <x:v>0.85</x:v>
      </x:c>
      <x:c r="E165" s="122" t="n">
        <x:f>IF(OR(A165="",D165=""),"",ROUND('00_Eingabe'!$B$8*D165,0))</x:f>
        <x:v>30</x:v>
      </x:c>
      <x:c r="F165" s="122" t="n">
        <x:f>IF(E165="","",ROUND(E165*'00_Eingabe'!$B$18,0))</x:f>
        <x:v>57</x:v>
      </x:c>
      <x:c r="G165" s="123" t="n">
        <x:f>IF(A165="","",IF(O165&lt;&gt;"",O165,IF(B165="Nebensaison",IF(C165="Wochenende",'00_Eingabe'!$E$24,'00_Eingabe'!$D$24),IF(B165="Hauptsaison",IF(C165="Wochenende",'00_Eingabe'!$E$25,'00_Eingabe'!$D$25),IF(B165="Weihnachten",IF(C165="Wochenende",'00_Eingabe'!$E$26,'00_Eingabe'!$D$26),IF(C165="Wochenende",'00_Eingabe'!$E$27,'00_Eingabe'!$D$27))))))</x:f>
        <x:v>0.85</x:v>
      </x:c>
      <x:c r="H165" s="122" t="n">
        <x:f>IF(OR(A165="",G165=""),"",ROUND('00_Eingabe'!$B$9*G165,0))</x:f>
        <x:v>3</x:v>
      </x:c>
      <x:c r="I165" s="122" t="n">
        <x:f>IF(H165="","",ROUND(H165*'00_Eingabe'!$B$19,0))</x:f>
        <x:v>7</x:v>
      </x:c>
      <x:c r="J165" s="122" t="n">
        <x:f>IF(OR(F165="",I165=""),"",F165+I165)</x:f>
        <x:v>64</x:v>
      </x:c>
      <x:c r="K165" s="122" t="n">
        <x:f>IF(J165="","",ROUND(J165*'00_Eingabe'!$B$16*(1+'00_Eingabe'!$B$14),0))</x:f>
        <x:v>74</x:v>
      </x:c>
      <x:c r="L165" s="122" t="n">
        <x:f>IF(B165="Betriebsferien",0,ROUND(J165*'00_Eingabe'!$B$40,0)+IF(C165="Wochenende",'00_Eingabe'!$B$42,'00_Eingabe'!$B$41))</x:f>
        <x:v>63</x:v>
      </x:c>
      <x:c r="M165" s="123" t="n">
        <x:f>IF(J165="","",ROUND(J165*'00_Eingabe'!$B$17*(1+'00_Eingabe'!$B$15),0))</x:f>
        <x:v>74</x:v>
      </x:c>
      <x:c r="N165" s="106"/>
      <x:c r="O165" s="106"/>
      <x:c r="P165" s="116"/>
      <x:c r="Q165" s="213" t="n">
        <x:f>IF(C165="Wochenende",1,0)</x:f>
        <x:v>0</x:v>
      </x:c>
      <x:c r="R165" s="213" t="n">
        <x:f>IF(AND(B165&lt;&gt;"Betriebsferien",OR(WEEKDAY(A165,2)=2,WEEKDAY(A165,2)=4)),1,0)</x:f>
        <x:v>0</x:v>
      </x:c>
      <x:c r="S165" s="214" t="n">
        <x:f>R165*MIN(1,'00_Eingabe'!$B$62/'00_Eingabe'!$B$61)</x:f>
        <x:v>0</x:v>
      </x:c>
      <x:c r="T165" s="213" t="n">
        <x:f>IF(B165="Betriebsferien",0,IF(B165="Nebensaison",IF(OR(WEEKDAY(A165,2)=1,WEEKDAY(A165,2)=3,WEEKDAY(A165,2)=5),1,0),IF(C165="Unterwoche",1,0)))</x:f>
        <x:v>1</x:v>
      </x:c>
      <x:c r="U165" s="213" t="n">
        <x:f>IF(B165="Betriebsferien",0,'00_Eingabe'!$G$24)</x:f>
        <x:v>8</x:v>
      </x:c>
    </x:row>
    <x:row r="166">
      <x:c r="A166" s="121" t="n">
        <x:f>IF(ROW()-4&lt;DATE('00_Eingabe'!$B$7+1,1,1)-DATE('00_Eingabe'!$B$7,1,1),DATE('00_Eingabe'!$B$7,1,1)+ROW()-4,"")</x:f>
        <x:v>45820</x:v>
      </x:c>
      <x:c r="B166" s="122" t="str">
        <x:f>IF(A166="","",IF(OR(AND(MONTH(A166)=12,DAY(A166)&gt;=20),AND(MONTH(A166)=1,DAY(A166)&lt;=2)),"Weihnachten",IF(OR(AND(MONTH(A166)=11,DAY(A166)&gt;=24),AND(MONTH(A166)=12,DAY(A166)&lt;=7)),"Betriebsferien",IF(OR(AND(MONTH(A166)=1,DAY(A166)&gt;=3),MONTH(A166)=2,MONTH(A166)=3,MONTH(A166)=4,MONTH(A166)=10,MONTH(A166)=11,AND(MONTH(A166)=12,DAY(A166)&lt;=15)),"Nebensaison","Hauptsaison"))))</x:f>
        <x:v>Hauptsaison</x:v>
      </x:c>
      <x:c r="C166" s="122" t="str">
        <x:f>IF(A166="","",IF(WEEKDAY(A166,2)&gt;=6,"Wochenende","Unterwoche"))</x:f>
        <x:v>Unterwoche</x:v>
      </x:c>
      <x:c r="D166" s="123" t="n">
        <x:f>IF(A166="","",IF(N166&lt;&gt;"",N166,IF(B166="Nebensaison",IF(C166="Wochenende",'00_Eingabe'!$C$24,'00_Eingabe'!$B$24),IF(B166="Hauptsaison",IF(C166="Wochenende",'00_Eingabe'!$C$25,'00_Eingabe'!$B$25),IF(B166="Weihnachten",IF(C166="Wochenende",'00_Eingabe'!$C$26,'00_Eingabe'!$B$26),IF(C166="Wochenende",'00_Eingabe'!$C$27,'00_Eingabe'!$B$27))))))</x:f>
        <x:v>0.85</x:v>
      </x:c>
      <x:c r="E166" s="122" t="n">
        <x:f>IF(OR(A166="",D166=""),"",ROUND('00_Eingabe'!$B$8*D166,0))</x:f>
        <x:v>30</x:v>
      </x:c>
      <x:c r="F166" s="122" t="n">
        <x:f>IF(E166="","",ROUND(E166*'00_Eingabe'!$B$18,0))</x:f>
        <x:v>57</x:v>
      </x:c>
      <x:c r="G166" s="123" t="n">
        <x:f>IF(A166="","",IF(O166&lt;&gt;"",O166,IF(B166="Nebensaison",IF(C166="Wochenende",'00_Eingabe'!$E$24,'00_Eingabe'!$D$24),IF(B166="Hauptsaison",IF(C166="Wochenende",'00_Eingabe'!$E$25,'00_Eingabe'!$D$25),IF(B166="Weihnachten",IF(C166="Wochenende",'00_Eingabe'!$E$26,'00_Eingabe'!$D$26),IF(C166="Wochenende",'00_Eingabe'!$E$27,'00_Eingabe'!$D$27))))))</x:f>
        <x:v>0.85</x:v>
      </x:c>
      <x:c r="H166" s="122" t="n">
        <x:f>IF(OR(A166="",G166=""),"",ROUND('00_Eingabe'!$B$9*G166,0))</x:f>
        <x:v>3</x:v>
      </x:c>
      <x:c r="I166" s="122" t="n">
        <x:f>IF(H166="","",ROUND(H166*'00_Eingabe'!$B$19,0))</x:f>
        <x:v>7</x:v>
      </x:c>
      <x:c r="J166" s="122" t="n">
        <x:f>IF(OR(F166="",I166=""),"",F166+I166)</x:f>
        <x:v>64</x:v>
      </x:c>
      <x:c r="K166" s="122" t="n">
        <x:f>IF(J166="","",ROUND(J166*'00_Eingabe'!$B$16*(1+'00_Eingabe'!$B$14),0))</x:f>
        <x:v>74</x:v>
      </x:c>
      <x:c r="L166" s="122" t="n">
        <x:f>IF(B166="Betriebsferien",0,ROUND(J166*'00_Eingabe'!$B$40,0)+IF(C166="Wochenende",'00_Eingabe'!$B$42,'00_Eingabe'!$B$41))</x:f>
        <x:v>63</x:v>
      </x:c>
      <x:c r="M166" s="123" t="n">
        <x:f>IF(J166="","",ROUND(J166*'00_Eingabe'!$B$17*(1+'00_Eingabe'!$B$15),0))</x:f>
        <x:v>74</x:v>
      </x:c>
      <x:c r="N166" s="106"/>
      <x:c r="O166" s="106"/>
      <x:c r="P166" s="116"/>
      <x:c r="Q166" s="213" t="n">
        <x:f>IF(C166="Wochenende",1,0)</x:f>
        <x:v>0</x:v>
      </x:c>
      <x:c r="R166" s="213" t="n">
        <x:f>IF(AND(B166&lt;&gt;"Betriebsferien",OR(WEEKDAY(A166,2)=2,WEEKDAY(A166,2)=4)),1,0)</x:f>
        <x:v>1</x:v>
      </x:c>
      <x:c r="S166" s="214" t="n">
        <x:f>R166*MIN(1,'00_Eingabe'!$B$62/'00_Eingabe'!$B$61)</x:f>
        <x:v>0.5</x:v>
      </x:c>
      <x:c r="T166" s="213" t="n">
        <x:f>IF(B166="Betriebsferien",0,IF(B166="Nebensaison",IF(OR(WEEKDAY(A166,2)=1,WEEKDAY(A166,2)=3,WEEKDAY(A166,2)=5),1,0),IF(C166="Unterwoche",1,0)))</x:f>
        <x:v>1</x:v>
      </x:c>
      <x:c r="U166" s="213" t="n">
        <x:f>IF(B166="Betriebsferien",0,'00_Eingabe'!$G$24)</x:f>
        <x:v>8</x:v>
      </x:c>
    </x:row>
    <x:row r="167">
      <x:c r="A167" s="121" t="n">
        <x:f>IF(ROW()-4&lt;DATE('00_Eingabe'!$B$7+1,1,1)-DATE('00_Eingabe'!$B$7,1,1),DATE('00_Eingabe'!$B$7,1,1)+ROW()-4,"")</x:f>
        <x:v>45821</x:v>
      </x:c>
      <x:c r="B167" s="122" t="str">
        <x:f>IF(A167="","",IF(OR(AND(MONTH(A167)=12,DAY(A167)&gt;=20),AND(MONTH(A167)=1,DAY(A167)&lt;=2)),"Weihnachten",IF(OR(AND(MONTH(A167)=11,DAY(A167)&gt;=24),AND(MONTH(A167)=12,DAY(A167)&lt;=7)),"Betriebsferien",IF(OR(AND(MONTH(A167)=1,DAY(A167)&gt;=3),MONTH(A167)=2,MONTH(A167)=3,MONTH(A167)=4,MONTH(A167)=10,MONTH(A167)=11,AND(MONTH(A167)=12,DAY(A167)&lt;=15)),"Nebensaison","Hauptsaison"))))</x:f>
        <x:v>Hauptsaison</x:v>
      </x:c>
      <x:c r="C167" s="122" t="str">
        <x:f>IF(A167="","",IF(WEEKDAY(A167,2)&gt;=6,"Wochenende","Unterwoche"))</x:f>
        <x:v>Unterwoche</x:v>
      </x:c>
      <x:c r="D167" s="123" t="n">
        <x:f>IF(A167="","",IF(N167&lt;&gt;"",N167,IF(B167="Nebensaison",IF(C167="Wochenende",'00_Eingabe'!$C$24,'00_Eingabe'!$B$24),IF(B167="Hauptsaison",IF(C167="Wochenende",'00_Eingabe'!$C$25,'00_Eingabe'!$B$25),IF(B167="Weihnachten",IF(C167="Wochenende",'00_Eingabe'!$C$26,'00_Eingabe'!$B$26),IF(C167="Wochenende",'00_Eingabe'!$C$27,'00_Eingabe'!$B$27))))))</x:f>
        <x:v>0.85</x:v>
      </x:c>
      <x:c r="E167" s="122" t="n">
        <x:f>IF(OR(A167="",D167=""),"",ROUND('00_Eingabe'!$B$8*D167,0))</x:f>
        <x:v>30</x:v>
      </x:c>
      <x:c r="F167" s="122" t="n">
        <x:f>IF(E167="","",ROUND(E167*'00_Eingabe'!$B$18,0))</x:f>
        <x:v>57</x:v>
      </x:c>
      <x:c r="G167" s="123" t="n">
        <x:f>IF(A167="","",IF(O167&lt;&gt;"",O167,IF(B167="Nebensaison",IF(C167="Wochenende",'00_Eingabe'!$E$24,'00_Eingabe'!$D$24),IF(B167="Hauptsaison",IF(C167="Wochenende",'00_Eingabe'!$E$25,'00_Eingabe'!$D$25),IF(B167="Weihnachten",IF(C167="Wochenende",'00_Eingabe'!$E$26,'00_Eingabe'!$D$26),IF(C167="Wochenende",'00_Eingabe'!$E$27,'00_Eingabe'!$D$27))))))</x:f>
        <x:v>0.85</x:v>
      </x:c>
      <x:c r="H167" s="122" t="n">
        <x:f>IF(OR(A167="",G167=""),"",ROUND('00_Eingabe'!$B$9*G167,0))</x:f>
        <x:v>3</x:v>
      </x:c>
      <x:c r="I167" s="122" t="n">
        <x:f>IF(H167="","",ROUND(H167*'00_Eingabe'!$B$19,0))</x:f>
        <x:v>7</x:v>
      </x:c>
      <x:c r="J167" s="122" t="n">
        <x:f>IF(OR(F167="",I167=""),"",F167+I167)</x:f>
        <x:v>64</x:v>
      </x:c>
      <x:c r="K167" s="122" t="n">
        <x:f>IF(J167="","",ROUND(J167*'00_Eingabe'!$B$16*(1+'00_Eingabe'!$B$14),0))</x:f>
        <x:v>74</x:v>
      </x:c>
      <x:c r="L167" s="122" t="n">
        <x:f>IF(B167="Betriebsferien",0,ROUND(J167*'00_Eingabe'!$B$40,0)+IF(C167="Wochenende",'00_Eingabe'!$B$42,'00_Eingabe'!$B$41))</x:f>
        <x:v>63</x:v>
      </x:c>
      <x:c r="M167" s="123" t="n">
        <x:f>IF(J167="","",ROUND(J167*'00_Eingabe'!$B$17*(1+'00_Eingabe'!$B$15),0))</x:f>
        <x:v>74</x:v>
      </x:c>
      <x:c r="N167" s="106"/>
      <x:c r="O167" s="106"/>
      <x:c r="P167" s="116"/>
      <x:c r="Q167" s="213" t="n">
        <x:f>IF(C167="Wochenende",1,0)</x:f>
        <x:v>0</x:v>
      </x:c>
      <x:c r="R167" s="213" t="n">
        <x:f>IF(AND(B167&lt;&gt;"Betriebsferien",OR(WEEKDAY(A167,2)=2,WEEKDAY(A167,2)=4)),1,0)</x:f>
        <x:v>0</x:v>
      </x:c>
      <x:c r="S167" s="214" t="n">
        <x:f>R167*MIN(1,'00_Eingabe'!$B$62/'00_Eingabe'!$B$61)</x:f>
        <x:v>0</x:v>
      </x:c>
      <x:c r="T167" s="213" t="n">
        <x:f>IF(B167="Betriebsferien",0,IF(B167="Nebensaison",IF(OR(WEEKDAY(A167,2)=1,WEEKDAY(A167,2)=3,WEEKDAY(A167,2)=5),1,0),IF(C167="Unterwoche",1,0)))</x:f>
        <x:v>1</x:v>
      </x:c>
      <x:c r="U167" s="213" t="n">
        <x:f>IF(B167="Betriebsferien",0,'00_Eingabe'!$G$24)</x:f>
        <x:v>8</x:v>
      </x:c>
    </x:row>
    <x:row r="168">
      <x:c r="A168" s="121" t="n">
        <x:f>IF(ROW()-4&lt;DATE('00_Eingabe'!$B$7+1,1,1)-DATE('00_Eingabe'!$B$7,1,1),DATE('00_Eingabe'!$B$7,1,1)+ROW()-4,"")</x:f>
        <x:v>45822</x:v>
      </x:c>
      <x:c r="B168" s="122" t="str">
        <x:f>IF(A168="","",IF(OR(AND(MONTH(A168)=12,DAY(A168)&gt;=20),AND(MONTH(A168)=1,DAY(A168)&lt;=2)),"Weihnachten",IF(OR(AND(MONTH(A168)=11,DAY(A168)&gt;=24),AND(MONTH(A168)=12,DAY(A168)&lt;=7)),"Betriebsferien",IF(OR(AND(MONTH(A168)=1,DAY(A168)&gt;=3),MONTH(A168)=2,MONTH(A168)=3,MONTH(A168)=4,MONTH(A168)=10,MONTH(A168)=11,AND(MONTH(A168)=12,DAY(A168)&lt;=15)),"Nebensaison","Hauptsaison"))))</x:f>
        <x:v>Hauptsaison</x:v>
      </x:c>
      <x:c r="C168" s="122" t="str">
        <x:f>IF(A168="","",IF(WEEKDAY(A168,2)&gt;=6,"Wochenende","Unterwoche"))</x:f>
        <x:v>Wochenende</x:v>
      </x:c>
      <x:c r="D168" s="123" t="n">
        <x:f>IF(A168="","",IF(N168&lt;&gt;"",N168,IF(B168="Nebensaison",IF(C168="Wochenende",'00_Eingabe'!$C$24,'00_Eingabe'!$B$24),IF(B168="Hauptsaison",IF(C168="Wochenende",'00_Eingabe'!$C$25,'00_Eingabe'!$B$25),IF(B168="Weihnachten",IF(C168="Wochenende",'00_Eingabe'!$C$26,'00_Eingabe'!$B$26),IF(C168="Wochenende",'00_Eingabe'!$C$27,'00_Eingabe'!$B$27))))))</x:f>
        <x:v>0.9</x:v>
      </x:c>
      <x:c r="E168" s="122" t="n">
        <x:f>IF(OR(A168="",D168=""),"",ROUND('00_Eingabe'!$B$8*D168,0))</x:f>
        <x:v>32</x:v>
      </x:c>
      <x:c r="F168" s="122" t="n">
        <x:f>IF(E168="","",ROUND(E168*'00_Eingabe'!$B$18,0))</x:f>
        <x:v>61</x:v>
      </x:c>
      <x:c r="G168" s="123" t="n">
        <x:f>IF(A168="","",IF(O168&lt;&gt;"",O168,IF(B168="Nebensaison",IF(C168="Wochenende",'00_Eingabe'!$E$24,'00_Eingabe'!$D$24),IF(B168="Hauptsaison",IF(C168="Wochenende",'00_Eingabe'!$E$25,'00_Eingabe'!$D$25),IF(B168="Weihnachten",IF(C168="Wochenende",'00_Eingabe'!$E$26,'00_Eingabe'!$D$26),IF(C168="Wochenende",'00_Eingabe'!$E$27,'00_Eingabe'!$D$27))))))</x:f>
        <x:v>0.9</x:v>
      </x:c>
      <x:c r="H168" s="122" t="n">
        <x:f>IF(OR(A168="",G168=""),"",ROUND('00_Eingabe'!$B$9*G168,0))</x:f>
        <x:v>4</x:v>
      </x:c>
      <x:c r="I168" s="122" t="n">
        <x:f>IF(H168="","",ROUND(H168*'00_Eingabe'!$B$19,0))</x:f>
        <x:v>9</x:v>
      </x:c>
      <x:c r="J168" s="122" t="n">
        <x:f>IF(OR(F168="",I168=""),"",F168+I168)</x:f>
        <x:v>70</x:v>
      </x:c>
      <x:c r="K168" s="122" t="n">
        <x:f>IF(J168="","",ROUND(J168*'00_Eingabe'!$B$16*(1+'00_Eingabe'!$B$14),0))</x:f>
        <x:v>81</x:v>
      </x:c>
      <x:c r="L168" s="122" t="n">
        <x:f>IF(B168="Betriebsferien",0,ROUND(J168*'00_Eingabe'!$B$40,0)+IF(C168="Wochenende",'00_Eingabe'!$B$42,'00_Eingabe'!$B$41))</x:f>
        <x:v>93</x:v>
      </x:c>
      <x:c r="M168" s="123" t="n">
        <x:f>IF(J168="","",ROUND(J168*'00_Eingabe'!$B$17*(1+'00_Eingabe'!$B$15),0))</x:f>
        <x:v>81</x:v>
      </x:c>
      <x:c r="N168" s="106"/>
      <x:c r="O168" s="106"/>
      <x:c r="P168" s="116"/>
      <x:c r="Q168" s="213" t="n">
        <x:f>IF(C168="Wochenende",1,0)</x:f>
        <x:v>1</x:v>
      </x:c>
      <x:c r="R168" s="213" t="n">
        <x:f>IF(AND(B168&lt;&gt;"Betriebsferien",OR(WEEKDAY(A168,2)=2,WEEKDAY(A168,2)=4)),1,0)</x:f>
        <x:v>0</x:v>
      </x:c>
      <x:c r="S168" s="214" t="n">
        <x:f>R168*MIN(1,'00_Eingabe'!$B$62/'00_Eingabe'!$B$61)</x:f>
        <x:v>0</x:v>
      </x:c>
      <x:c r="T168" s="213" t="n">
        <x:f>IF(B168="Betriebsferien",0,IF(B168="Nebensaison",IF(OR(WEEKDAY(A168,2)=1,WEEKDAY(A168,2)=3,WEEKDAY(A168,2)=5),1,0),IF(C168="Unterwoche",1,0)))</x:f>
        <x:v>0</x:v>
      </x:c>
      <x:c r="U168" s="213" t="n">
        <x:f>IF(B168="Betriebsferien",0,'00_Eingabe'!$G$24)</x:f>
        <x:v>8</x:v>
      </x:c>
    </x:row>
    <x:row r="169">
      <x:c r="A169" s="121" t="n">
        <x:f>IF(ROW()-4&lt;DATE('00_Eingabe'!$B$7+1,1,1)-DATE('00_Eingabe'!$B$7,1,1),DATE('00_Eingabe'!$B$7,1,1)+ROW()-4,"")</x:f>
        <x:v>45823</x:v>
      </x:c>
      <x:c r="B169" s="122" t="str">
        <x:f>IF(A169="","",IF(OR(AND(MONTH(A169)=12,DAY(A169)&gt;=20),AND(MONTH(A169)=1,DAY(A169)&lt;=2)),"Weihnachten",IF(OR(AND(MONTH(A169)=11,DAY(A169)&gt;=24),AND(MONTH(A169)=12,DAY(A169)&lt;=7)),"Betriebsferien",IF(OR(AND(MONTH(A169)=1,DAY(A169)&gt;=3),MONTH(A169)=2,MONTH(A169)=3,MONTH(A169)=4,MONTH(A169)=10,MONTH(A169)=11,AND(MONTH(A169)=12,DAY(A169)&lt;=15)),"Nebensaison","Hauptsaison"))))</x:f>
        <x:v>Hauptsaison</x:v>
      </x:c>
      <x:c r="C169" s="122" t="str">
        <x:f>IF(A169="","",IF(WEEKDAY(A169,2)&gt;=6,"Wochenende","Unterwoche"))</x:f>
        <x:v>Wochenende</x:v>
      </x:c>
      <x:c r="D169" s="123" t="n">
        <x:f>IF(A169="","",IF(N169&lt;&gt;"",N169,IF(B169="Nebensaison",IF(C169="Wochenende",'00_Eingabe'!$C$24,'00_Eingabe'!$B$24),IF(B169="Hauptsaison",IF(C169="Wochenende",'00_Eingabe'!$C$25,'00_Eingabe'!$B$25),IF(B169="Weihnachten",IF(C169="Wochenende",'00_Eingabe'!$C$26,'00_Eingabe'!$B$26),IF(C169="Wochenende",'00_Eingabe'!$C$27,'00_Eingabe'!$B$27))))))</x:f>
        <x:v>0.9</x:v>
      </x:c>
      <x:c r="E169" s="122" t="n">
        <x:f>IF(OR(A169="",D169=""),"",ROUND('00_Eingabe'!$B$8*D169,0))</x:f>
        <x:v>32</x:v>
      </x:c>
      <x:c r="F169" s="122" t="n">
        <x:f>IF(E169="","",ROUND(E169*'00_Eingabe'!$B$18,0))</x:f>
        <x:v>61</x:v>
      </x:c>
      <x:c r="G169" s="123" t="n">
        <x:f>IF(A169="","",IF(O169&lt;&gt;"",O169,IF(B169="Nebensaison",IF(C169="Wochenende",'00_Eingabe'!$E$24,'00_Eingabe'!$D$24),IF(B169="Hauptsaison",IF(C169="Wochenende",'00_Eingabe'!$E$25,'00_Eingabe'!$D$25),IF(B169="Weihnachten",IF(C169="Wochenende",'00_Eingabe'!$E$26,'00_Eingabe'!$D$26),IF(C169="Wochenende",'00_Eingabe'!$E$27,'00_Eingabe'!$D$27))))))</x:f>
        <x:v>0.9</x:v>
      </x:c>
      <x:c r="H169" s="122" t="n">
        <x:f>IF(OR(A169="",G169=""),"",ROUND('00_Eingabe'!$B$9*G169,0))</x:f>
        <x:v>4</x:v>
      </x:c>
      <x:c r="I169" s="122" t="n">
        <x:f>IF(H169="","",ROUND(H169*'00_Eingabe'!$B$19,0))</x:f>
        <x:v>9</x:v>
      </x:c>
      <x:c r="J169" s="122" t="n">
        <x:f>IF(OR(F169="",I169=""),"",F169+I169)</x:f>
        <x:v>70</x:v>
      </x:c>
      <x:c r="K169" s="122" t="n">
        <x:f>IF(J169="","",ROUND(J169*'00_Eingabe'!$B$16*(1+'00_Eingabe'!$B$14),0))</x:f>
        <x:v>81</x:v>
      </x:c>
      <x:c r="L169" s="122" t="n">
        <x:f>IF(B169="Betriebsferien",0,ROUND(J169*'00_Eingabe'!$B$40,0)+IF(C169="Wochenende",'00_Eingabe'!$B$42,'00_Eingabe'!$B$41))</x:f>
        <x:v>93</x:v>
      </x:c>
      <x:c r="M169" s="123" t="n">
        <x:f>IF(J169="","",ROUND(J169*'00_Eingabe'!$B$17*(1+'00_Eingabe'!$B$15),0))</x:f>
        <x:v>81</x:v>
      </x:c>
      <x:c r="N169" s="106"/>
      <x:c r="O169" s="106"/>
      <x:c r="P169" s="116"/>
      <x:c r="Q169" s="213" t="n">
        <x:f>IF(C169="Wochenende",1,0)</x:f>
        <x:v>1</x:v>
      </x:c>
      <x:c r="R169" s="213" t="n">
        <x:f>IF(AND(B169&lt;&gt;"Betriebsferien",OR(WEEKDAY(A169,2)=2,WEEKDAY(A169,2)=4)),1,0)</x:f>
        <x:v>0</x:v>
      </x:c>
      <x:c r="S169" s="214" t="n">
        <x:f>R169*MIN(1,'00_Eingabe'!$B$62/'00_Eingabe'!$B$61)</x:f>
        <x:v>0</x:v>
      </x:c>
      <x:c r="T169" s="213" t="n">
        <x:f>IF(B169="Betriebsferien",0,IF(B169="Nebensaison",IF(OR(WEEKDAY(A169,2)=1,WEEKDAY(A169,2)=3,WEEKDAY(A169,2)=5),1,0),IF(C169="Unterwoche",1,0)))</x:f>
        <x:v>0</x:v>
      </x:c>
      <x:c r="U169" s="213" t="n">
        <x:f>IF(B169="Betriebsferien",0,'00_Eingabe'!$G$24)</x:f>
        <x:v>8</x:v>
      </x:c>
    </x:row>
    <x:row r="170">
      <x:c r="A170" s="121" t="n">
        <x:f>IF(ROW()-4&lt;DATE('00_Eingabe'!$B$7+1,1,1)-DATE('00_Eingabe'!$B$7,1,1),DATE('00_Eingabe'!$B$7,1,1)+ROW()-4,"")</x:f>
        <x:v>45824</x:v>
      </x:c>
      <x:c r="B170" s="122" t="str">
        <x:f>IF(A170="","",IF(OR(AND(MONTH(A170)=12,DAY(A170)&gt;=20),AND(MONTH(A170)=1,DAY(A170)&lt;=2)),"Weihnachten",IF(OR(AND(MONTH(A170)=11,DAY(A170)&gt;=24),AND(MONTH(A170)=12,DAY(A170)&lt;=7)),"Betriebsferien",IF(OR(AND(MONTH(A170)=1,DAY(A170)&gt;=3),MONTH(A170)=2,MONTH(A170)=3,MONTH(A170)=4,MONTH(A170)=10,MONTH(A170)=11,AND(MONTH(A170)=12,DAY(A170)&lt;=15)),"Nebensaison","Hauptsaison"))))</x:f>
        <x:v>Hauptsaison</x:v>
      </x:c>
      <x:c r="C170" s="122" t="str">
        <x:f>IF(A170="","",IF(WEEKDAY(A170,2)&gt;=6,"Wochenende","Unterwoche"))</x:f>
        <x:v>Unterwoche</x:v>
      </x:c>
      <x:c r="D170" s="123" t="n">
        <x:f>IF(A170="","",IF(N170&lt;&gt;"",N170,IF(B170="Nebensaison",IF(C170="Wochenende",'00_Eingabe'!$C$24,'00_Eingabe'!$B$24),IF(B170="Hauptsaison",IF(C170="Wochenende",'00_Eingabe'!$C$25,'00_Eingabe'!$B$25),IF(B170="Weihnachten",IF(C170="Wochenende",'00_Eingabe'!$C$26,'00_Eingabe'!$B$26),IF(C170="Wochenende",'00_Eingabe'!$C$27,'00_Eingabe'!$B$27))))))</x:f>
        <x:v>0.85</x:v>
      </x:c>
      <x:c r="E170" s="122" t="n">
        <x:f>IF(OR(A170="",D170=""),"",ROUND('00_Eingabe'!$B$8*D170,0))</x:f>
        <x:v>30</x:v>
      </x:c>
      <x:c r="F170" s="122" t="n">
        <x:f>IF(E170="","",ROUND(E170*'00_Eingabe'!$B$18,0))</x:f>
        <x:v>57</x:v>
      </x:c>
      <x:c r="G170" s="123" t="n">
        <x:f>IF(A170="","",IF(O170&lt;&gt;"",O170,IF(B170="Nebensaison",IF(C170="Wochenende",'00_Eingabe'!$E$24,'00_Eingabe'!$D$24),IF(B170="Hauptsaison",IF(C170="Wochenende",'00_Eingabe'!$E$25,'00_Eingabe'!$D$25),IF(B170="Weihnachten",IF(C170="Wochenende",'00_Eingabe'!$E$26,'00_Eingabe'!$D$26),IF(C170="Wochenende",'00_Eingabe'!$E$27,'00_Eingabe'!$D$27))))))</x:f>
        <x:v>0.85</x:v>
      </x:c>
      <x:c r="H170" s="122" t="n">
        <x:f>IF(OR(A170="",G170=""),"",ROUND('00_Eingabe'!$B$9*G170,0))</x:f>
        <x:v>3</x:v>
      </x:c>
      <x:c r="I170" s="122" t="n">
        <x:f>IF(H170="","",ROUND(H170*'00_Eingabe'!$B$19,0))</x:f>
        <x:v>7</x:v>
      </x:c>
      <x:c r="J170" s="122" t="n">
        <x:f>IF(OR(F170="",I170=""),"",F170+I170)</x:f>
        <x:v>64</x:v>
      </x:c>
      <x:c r="K170" s="122" t="n">
        <x:f>IF(J170="","",ROUND(J170*'00_Eingabe'!$B$16*(1+'00_Eingabe'!$B$14),0))</x:f>
        <x:v>74</x:v>
      </x:c>
      <x:c r="L170" s="122" t="n">
        <x:f>IF(B170="Betriebsferien",0,ROUND(J170*'00_Eingabe'!$B$40,0)+IF(C170="Wochenende",'00_Eingabe'!$B$42,'00_Eingabe'!$B$41))</x:f>
        <x:v>63</x:v>
      </x:c>
      <x:c r="M170" s="123" t="n">
        <x:f>IF(J170="","",ROUND(J170*'00_Eingabe'!$B$17*(1+'00_Eingabe'!$B$15),0))</x:f>
        <x:v>74</x:v>
      </x:c>
      <x:c r="N170" s="106"/>
      <x:c r="O170" s="106"/>
      <x:c r="P170" s="116"/>
      <x:c r="Q170" s="213" t="n">
        <x:f>IF(C170="Wochenende",1,0)</x:f>
        <x:v>0</x:v>
      </x:c>
      <x:c r="R170" s="213" t="n">
        <x:f>IF(AND(B170&lt;&gt;"Betriebsferien",OR(WEEKDAY(A170,2)=2,WEEKDAY(A170,2)=4)),1,0)</x:f>
        <x:v>0</x:v>
      </x:c>
      <x:c r="S170" s="214" t="n">
        <x:f>R170*MIN(1,'00_Eingabe'!$B$62/'00_Eingabe'!$B$61)</x:f>
        <x:v>0</x:v>
      </x:c>
      <x:c r="T170" s="213" t="n">
        <x:f>IF(B170="Betriebsferien",0,IF(B170="Nebensaison",IF(OR(WEEKDAY(A170,2)=1,WEEKDAY(A170,2)=3,WEEKDAY(A170,2)=5),1,0),IF(C170="Unterwoche",1,0)))</x:f>
        <x:v>1</x:v>
      </x:c>
      <x:c r="U170" s="213" t="n">
        <x:f>IF(B170="Betriebsferien",0,'00_Eingabe'!$G$24)</x:f>
        <x:v>8</x:v>
      </x:c>
    </x:row>
    <x:row r="171">
      <x:c r="A171" s="121" t="n">
        <x:f>IF(ROW()-4&lt;DATE('00_Eingabe'!$B$7+1,1,1)-DATE('00_Eingabe'!$B$7,1,1),DATE('00_Eingabe'!$B$7,1,1)+ROW()-4,"")</x:f>
        <x:v>45825</x:v>
      </x:c>
      <x:c r="B171" s="122" t="str">
        <x:f>IF(A171="","",IF(OR(AND(MONTH(A171)=12,DAY(A171)&gt;=20),AND(MONTH(A171)=1,DAY(A171)&lt;=2)),"Weihnachten",IF(OR(AND(MONTH(A171)=11,DAY(A171)&gt;=24),AND(MONTH(A171)=12,DAY(A171)&lt;=7)),"Betriebsferien",IF(OR(AND(MONTH(A171)=1,DAY(A171)&gt;=3),MONTH(A171)=2,MONTH(A171)=3,MONTH(A171)=4,MONTH(A171)=10,MONTH(A171)=11,AND(MONTH(A171)=12,DAY(A171)&lt;=15)),"Nebensaison","Hauptsaison"))))</x:f>
        <x:v>Hauptsaison</x:v>
      </x:c>
      <x:c r="C171" s="122" t="str">
        <x:f>IF(A171="","",IF(WEEKDAY(A171,2)&gt;=6,"Wochenende","Unterwoche"))</x:f>
        <x:v>Unterwoche</x:v>
      </x:c>
      <x:c r="D171" s="123" t="n">
        <x:f>IF(A171="","",IF(N171&lt;&gt;"",N171,IF(B171="Nebensaison",IF(C171="Wochenende",'00_Eingabe'!$C$24,'00_Eingabe'!$B$24),IF(B171="Hauptsaison",IF(C171="Wochenende",'00_Eingabe'!$C$25,'00_Eingabe'!$B$25),IF(B171="Weihnachten",IF(C171="Wochenende",'00_Eingabe'!$C$26,'00_Eingabe'!$B$26),IF(C171="Wochenende",'00_Eingabe'!$C$27,'00_Eingabe'!$B$27))))))</x:f>
        <x:v>0.85</x:v>
      </x:c>
      <x:c r="E171" s="122" t="n">
        <x:f>IF(OR(A171="",D171=""),"",ROUND('00_Eingabe'!$B$8*D171,0))</x:f>
        <x:v>30</x:v>
      </x:c>
      <x:c r="F171" s="122" t="n">
        <x:f>IF(E171="","",ROUND(E171*'00_Eingabe'!$B$18,0))</x:f>
        <x:v>57</x:v>
      </x:c>
      <x:c r="G171" s="123" t="n">
        <x:f>IF(A171="","",IF(O171&lt;&gt;"",O171,IF(B171="Nebensaison",IF(C171="Wochenende",'00_Eingabe'!$E$24,'00_Eingabe'!$D$24),IF(B171="Hauptsaison",IF(C171="Wochenende",'00_Eingabe'!$E$25,'00_Eingabe'!$D$25),IF(B171="Weihnachten",IF(C171="Wochenende",'00_Eingabe'!$E$26,'00_Eingabe'!$D$26),IF(C171="Wochenende",'00_Eingabe'!$E$27,'00_Eingabe'!$D$27))))))</x:f>
        <x:v>0.85</x:v>
      </x:c>
      <x:c r="H171" s="122" t="n">
        <x:f>IF(OR(A171="",G171=""),"",ROUND('00_Eingabe'!$B$9*G171,0))</x:f>
        <x:v>3</x:v>
      </x:c>
      <x:c r="I171" s="122" t="n">
        <x:f>IF(H171="","",ROUND(H171*'00_Eingabe'!$B$19,0))</x:f>
        <x:v>7</x:v>
      </x:c>
      <x:c r="J171" s="122" t="n">
        <x:f>IF(OR(F171="",I171=""),"",F171+I171)</x:f>
        <x:v>64</x:v>
      </x:c>
      <x:c r="K171" s="122" t="n">
        <x:f>IF(J171="","",ROUND(J171*'00_Eingabe'!$B$16*(1+'00_Eingabe'!$B$14),0))</x:f>
        <x:v>74</x:v>
      </x:c>
      <x:c r="L171" s="122" t="n">
        <x:f>IF(B171="Betriebsferien",0,ROUND(J171*'00_Eingabe'!$B$40,0)+IF(C171="Wochenende",'00_Eingabe'!$B$42,'00_Eingabe'!$B$41))</x:f>
        <x:v>63</x:v>
      </x:c>
      <x:c r="M171" s="123" t="n">
        <x:f>IF(J171="","",ROUND(J171*'00_Eingabe'!$B$17*(1+'00_Eingabe'!$B$15),0))</x:f>
        <x:v>74</x:v>
      </x:c>
      <x:c r="N171" s="106"/>
      <x:c r="O171" s="106"/>
      <x:c r="P171" s="116"/>
      <x:c r="Q171" s="213" t="n">
        <x:f>IF(C171="Wochenende",1,0)</x:f>
        <x:v>0</x:v>
      </x:c>
      <x:c r="R171" s="213" t="n">
        <x:f>IF(AND(B171&lt;&gt;"Betriebsferien",OR(WEEKDAY(A171,2)=2,WEEKDAY(A171,2)=4)),1,0)</x:f>
        <x:v>1</x:v>
      </x:c>
      <x:c r="S171" s="214" t="n">
        <x:f>R171*MIN(1,'00_Eingabe'!$B$62/'00_Eingabe'!$B$61)</x:f>
        <x:v>0.5</x:v>
      </x:c>
      <x:c r="T171" s="213" t="n">
        <x:f>IF(B171="Betriebsferien",0,IF(B171="Nebensaison",IF(OR(WEEKDAY(A171,2)=1,WEEKDAY(A171,2)=3,WEEKDAY(A171,2)=5),1,0),IF(C171="Unterwoche",1,0)))</x:f>
        <x:v>1</x:v>
      </x:c>
      <x:c r="U171" s="213" t="n">
        <x:f>IF(B171="Betriebsferien",0,'00_Eingabe'!$G$24)</x:f>
        <x:v>8</x:v>
      </x:c>
    </x:row>
    <x:row r="172">
      <x:c r="A172" s="121" t="n">
        <x:f>IF(ROW()-4&lt;DATE('00_Eingabe'!$B$7+1,1,1)-DATE('00_Eingabe'!$B$7,1,1),DATE('00_Eingabe'!$B$7,1,1)+ROW()-4,"")</x:f>
        <x:v>45826</x:v>
      </x:c>
      <x:c r="B172" s="122" t="str">
        <x:f>IF(A172="","",IF(OR(AND(MONTH(A172)=12,DAY(A172)&gt;=20),AND(MONTH(A172)=1,DAY(A172)&lt;=2)),"Weihnachten",IF(OR(AND(MONTH(A172)=11,DAY(A172)&gt;=24),AND(MONTH(A172)=12,DAY(A172)&lt;=7)),"Betriebsferien",IF(OR(AND(MONTH(A172)=1,DAY(A172)&gt;=3),MONTH(A172)=2,MONTH(A172)=3,MONTH(A172)=4,MONTH(A172)=10,MONTH(A172)=11,AND(MONTH(A172)=12,DAY(A172)&lt;=15)),"Nebensaison","Hauptsaison"))))</x:f>
        <x:v>Hauptsaison</x:v>
      </x:c>
      <x:c r="C172" s="122" t="str">
        <x:f>IF(A172="","",IF(WEEKDAY(A172,2)&gt;=6,"Wochenende","Unterwoche"))</x:f>
        <x:v>Unterwoche</x:v>
      </x:c>
      <x:c r="D172" s="123" t="n">
        <x:f>IF(A172="","",IF(N172&lt;&gt;"",N172,IF(B172="Nebensaison",IF(C172="Wochenende",'00_Eingabe'!$C$24,'00_Eingabe'!$B$24),IF(B172="Hauptsaison",IF(C172="Wochenende",'00_Eingabe'!$C$25,'00_Eingabe'!$B$25),IF(B172="Weihnachten",IF(C172="Wochenende",'00_Eingabe'!$C$26,'00_Eingabe'!$B$26),IF(C172="Wochenende",'00_Eingabe'!$C$27,'00_Eingabe'!$B$27))))))</x:f>
        <x:v>0.85</x:v>
      </x:c>
      <x:c r="E172" s="122" t="n">
        <x:f>IF(OR(A172="",D172=""),"",ROUND('00_Eingabe'!$B$8*D172,0))</x:f>
        <x:v>30</x:v>
      </x:c>
      <x:c r="F172" s="122" t="n">
        <x:f>IF(E172="","",ROUND(E172*'00_Eingabe'!$B$18,0))</x:f>
        <x:v>57</x:v>
      </x:c>
      <x:c r="G172" s="123" t="n">
        <x:f>IF(A172="","",IF(O172&lt;&gt;"",O172,IF(B172="Nebensaison",IF(C172="Wochenende",'00_Eingabe'!$E$24,'00_Eingabe'!$D$24),IF(B172="Hauptsaison",IF(C172="Wochenende",'00_Eingabe'!$E$25,'00_Eingabe'!$D$25),IF(B172="Weihnachten",IF(C172="Wochenende",'00_Eingabe'!$E$26,'00_Eingabe'!$D$26),IF(C172="Wochenende",'00_Eingabe'!$E$27,'00_Eingabe'!$D$27))))))</x:f>
        <x:v>0.85</x:v>
      </x:c>
      <x:c r="H172" s="122" t="n">
        <x:f>IF(OR(A172="",G172=""),"",ROUND('00_Eingabe'!$B$9*G172,0))</x:f>
        <x:v>3</x:v>
      </x:c>
      <x:c r="I172" s="122" t="n">
        <x:f>IF(H172="","",ROUND(H172*'00_Eingabe'!$B$19,0))</x:f>
        <x:v>7</x:v>
      </x:c>
      <x:c r="J172" s="122" t="n">
        <x:f>IF(OR(F172="",I172=""),"",F172+I172)</x:f>
        <x:v>64</x:v>
      </x:c>
      <x:c r="K172" s="122" t="n">
        <x:f>IF(J172="","",ROUND(J172*'00_Eingabe'!$B$16*(1+'00_Eingabe'!$B$14),0))</x:f>
        <x:v>74</x:v>
      </x:c>
      <x:c r="L172" s="122" t="n">
        <x:f>IF(B172="Betriebsferien",0,ROUND(J172*'00_Eingabe'!$B$40,0)+IF(C172="Wochenende",'00_Eingabe'!$B$42,'00_Eingabe'!$B$41))</x:f>
        <x:v>63</x:v>
      </x:c>
      <x:c r="M172" s="123" t="n">
        <x:f>IF(J172="","",ROUND(J172*'00_Eingabe'!$B$17*(1+'00_Eingabe'!$B$15),0))</x:f>
        <x:v>74</x:v>
      </x:c>
      <x:c r="N172" s="106"/>
      <x:c r="O172" s="106"/>
      <x:c r="P172" s="116"/>
      <x:c r="Q172" s="213" t="n">
        <x:f>IF(C172="Wochenende",1,0)</x:f>
        <x:v>0</x:v>
      </x:c>
      <x:c r="R172" s="213" t="n">
        <x:f>IF(AND(B172&lt;&gt;"Betriebsferien",OR(WEEKDAY(A172,2)=2,WEEKDAY(A172,2)=4)),1,0)</x:f>
        <x:v>0</x:v>
      </x:c>
      <x:c r="S172" s="214" t="n">
        <x:f>R172*MIN(1,'00_Eingabe'!$B$62/'00_Eingabe'!$B$61)</x:f>
        <x:v>0</x:v>
      </x:c>
      <x:c r="T172" s="213" t="n">
        <x:f>IF(B172="Betriebsferien",0,IF(B172="Nebensaison",IF(OR(WEEKDAY(A172,2)=1,WEEKDAY(A172,2)=3,WEEKDAY(A172,2)=5),1,0),IF(C172="Unterwoche",1,0)))</x:f>
        <x:v>1</x:v>
      </x:c>
      <x:c r="U172" s="213" t="n">
        <x:f>IF(B172="Betriebsferien",0,'00_Eingabe'!$G$24)</x:f>
        <x:v>8</x:v>
      </x:c>
    </x:row>
    <x:row r="173">
      <x:c r="A173" s="121" t="n">
        <x:f>IF(ROW()-4&lt;DATE('00_Eingabe'!$B$7+1,1,1)-DATE('00_Eingabe'!$B$7,1,1),DATE('00_Eingabe'!$B$7,1,1)+ROW()-4,"")</x:f>
        <x:v>45827</x:v>
      </x:c>
      <x:c r="B173" s="122" t="str">
        <x:f>IF(A173="","",IF(OR(AND(MONTH(A173)=12,DAY(A173)&gt;=20),AND(MONTH(A173)=1,DAY(A173)&lt;=2)),"Weihnachten",IF(OR(AND(MONTH(A173)=11,DAY(A173)&gt;=24),AND(MONTH(A173)=12,DAY(A173)&lt;=7)),"Betriebsferien",IF(OR(AND(MONTH(A173)=1,DAY(A173)&gt;=3),MONTH(A173)=2,MONTH(A173)=3,MONTH(A173)=4,MONTH(A173)=10,MONTH(A173)=11,AND(MONTH(A173)=12,DAY(A173)&lt;=15)),"Nebensaison","Hauptsaison"))))</x:f>
        <x:v>Hauptsaison</x:v>
      </x:c>
      <x:c r="C173" s="122" t="str">
        <x:f>IF(A173="","",IF(WEEKDAY(A173,2)&gt;=6,"Wochenende","Unterwoche"))</x:f>
        <x:v>Unterwoche</x:v>
      </x:c>
      <x:c r="D173" s="123" t="n">
        <x:f>IF(A173="","",IF(N173&lt;&gt;"",N173,IF(B173="Nebensaison",IF(C173="Wochenende",'00_Eingabe'!$C$24,'00_Eingabe'!$B$24),IF(B173="Hauptsaison",IF(C173="Wochenende",'00_Eingabe'!$C$25,'00_Eingabe'!$B$25),IF(B173="Weihnachten",IF(C173="Wochenende",'00_Eingabe'!$C$26,'00_Eingabe'!$B$26),IF(C173="Wochenende",'00_Eingabe'!$C$27,'00_Eingabe'!$B$27))))))</x:f>
        <x:v>0.85</x:v>
      </x:c>
      <x:c r="E173" s="122" t="n">
        <x:f>IF(OR(A173="",D173=""),"",ROUND('00_Eingabe'!$B$8*D173,0))</x:f>
        <x:v>30</x:v>
      </x:c>
      <x:c r="F173" s="122" t="n">
        <x:f>IF(E173="","",ROUND(E173*'00_Eingabe'!$B$18,0))</x:f>
        <x:v>57</x:v>
      </x:c>
      <x:c r="G173" s="123" t="n">
        <x:f>IF(A173="","",IF(O173&lt;&gt;"",O173,IF(B173="Nebensaison",IF(C173="Wochenende",'00_Eingabe'!$E$24,'00_Eingabe'!$D$24),IF(B173="Hauptsaison",IF(C173="Wochenende",'00_Eingabe'!$E$25,'00_Eingabe'!$D$25),IF(B173="Weihnachten",IF(C173="Wochenende",'00_Eingabe'!$E$26,'00_Eingabe'!$D$26),IF(C173="Wochenende",'00_Eingabe'!$E$27,'00_Eingabe'!$D$27))))))</x:f>
        <x:v>0.85</x:v>
      </x:c>
      <x:c r="H173" s="122" t="n">
        <x:f>IF(OR(A173="",G173=""),"",ROUND('00_Eingabe'!$B$9*G173,0))</x:f>
        <x:v>3</x:v>
      </x:c>
      <x:c r="I173" s="122" t="n">
        <x:f>IF(H173="","",ROUND(H173*'00_Eingabe'!$B$19,0))</x:f>
        <x:v>7</x:v>
      </x:c>
      <x:c r="J173" s="122" t="n">
        <x:f>IF(OR(F173="",I173=""),"",F173+I173)</x:f>
        <x:v>64</x:v>
      </x:c>
      <x:c r="K173" s="122" t="n">
        <x:f>IF(J173="","",ROUND(J173*'00_Eingabe'!$B$16*(1+'00_Eingabe'!$B$14),0))</x:f>
        <x:v>74</x:v>
      </x:c>
      <x:c r="L173" s="122" t="n">
        <x:f>IF(B173="Betriebsferien",0,ROUND(J173*'00_Eingabe'!$B$40,0)+IF(C173="Wochenende",'00_Eingabe'!$B$42,'00_Eingabe'!$B$41))</x:f>
        <x:v>63</x:v>
      </x:c>
      <x:c r="M173" s="123" t="n">
        <x:f>IF(J173="","",ROUND(J173*'00_Eingabe'!$B$17*(1+'00_Eingabe'!$B$15),0))</x:f>
        <x:v>74</x:v>
      </x:c>
      <x:c r="N173" s="106"/>
      <x:c r="O173" s="106"/>
      <x:c r="P173" s="116"/>
      <x:c r="Q173" s="213" t="n">
        <x:f>IF(C173="Wochenende",1,0)</x:f>
        <x:v>0</x:v>
      </x:c>
      <x:c r="R173" s="213" t="n">
        <x:f>IF(AND(B173&lt;&gt;"Betriebsferien",OR(WEEKDAY(A173,2)=2,WEEKDAY(A173,2)=4)),1,0)</x:f>
        <x:v>1</x:v>
      </x:c>
      <x:c r="S173" s="214" t="n">
        <x:f>R173*MIN(1,'00_Eingabe'!$B$62/'00_Eingabe'!$B$61)</x:f>
        <x:v>0.5</x:v>
      </x:c>
      <x:c r="T173" s="213" t="n">
        <x:f>IF(B173="Betriebsferien",0,IF(B173="Nebensaison",IF(OR(WEEKDAY(A173,2)=1,WEEKDAY(A173,2)=3,WEEKDAY(A173,2)=5),1,0),IF(C173="Unterwoche",1,0)))</x:f>
        <x:v>1</x:v>
      </x:c>
      <x:c r="U173" s="213" t="n">
        <x:f>IF(B173="Betriebsferien",0,'00_Eingabe'!$G$24)</x:f>
        <x:v>8</x:v>
      </x:c>
    </x:row>
    <x:row r="174">
      <x:c r="A174" s="121" t="n">
        <x:f>IF(ROW()-4&lt;DATE('00_Eingabe'!$B$7+1,1,1)-DATE('00_Eingabe'!$B$7,1,1),DATE('00_Eingabe'!$B$7,1,1)+ROW()-4,"")</x:f>
        <x:v>45828</x:v>
      </x:c>
      <x:c r="B174" s="122" t="str">
        <x:f>IF(A174="","",IF(OR(AND(MONTH(A174)=12,DAY(A174)&gt;=20),AND(MONTH(A174)=1,DAY(A174)&lt;=2)),"Weihnachten",IF(OR(AND(MONTH(A174)=11,DAY(A174)&gt;=24),AND(MONTH(A174)=12,DAY(A174)&lt;=7)),"Betriebsferien",IF(OR(AND(MONTH(A174)=1,DAY(A174)&gt;=3),MONTH(A174)=2,MONTH(A174)=3,MONTH(A174)=4,MONTH(A174)=10,MONTH(A174)=11,AND(MONTH(A174)=12,DAY(A174)&lt;=15)),"Nebensaison","Hauptsaison"))))</x:f>
        <x:v>Hauptsaison</x:v>
      </x:c>
      <x:c r="C174" s="122" t="str">
        <x:f>IF(A174="","",IF(WEEKDAY(A174,2)&gt;=6,"Wochenende","Unterwoche"))</x:f>
        <x:v>Unterwoche</x:v>
      </x:c>
      <x:c r="D174" s="123" t="n">
        <x:f>IF(A174="","",IF(N174&lt;&gt;"",N174,IF(B174="Nebensaison",IF(C174="Wochenende",'00_Eingabe'!$C$24,'00_Eingabe'!$B$24),IF(B174="Hauptsaison",IF(C174="Wochenende",'00_Eingabe'!$C$25,'00_Eingabe'!$B$25),IF(B174="Weihnachten",IF(C174="Wochenende",'00_Eingabe'!$C$26,'00_Eingabe'!$B$26),IF(C174="Wochenende",'00_Eingabe'!$C$27,'00_Eingabe'!$B$27))))))</x:f>
        <x:v>0.85</x:v>
      </x:c>
      <x:c r="E174" s="122" t="n">
        <x:f>IF(OR(A174="",D174=""),"",ROUND('00_Eingabe'!$B$8*D174,0))</x:f>
        <x:v>30</x:v>
      </x:c>
      <x:c r="F174" s="122" t="n">
        <x:f>IF(E174="","",ROUND(E174*'00_Eingabe'!$B$18,0))</x:f>
        <x:v>57</x:v>
      </x:c>
      <x:c r="G174" s="123" t="n">
        <x:f>IF(A174="","",IF(O174&lt;&gt;"",O174,IF(B174="Nebensaison",IF(C174="Wochenende",'00_Eingabe'!$E$24,'00_Eingabe'!$D$24),IF(B174="Hauptsaison",IF(C174="Wochenende",'00_Eingabe'!$E$25,'00_Eingabe'!$D$25),IF(B174="Weihnachten",IF(C174="Wochenende",'00_Eingabe'!$E$26,'00_Eingabe'!$D$26),IF(C174="Wochenende",'00_Eingabe'!$E$27,'00_Eingabe'!$D$27))))))</x:f>
        <x:v>0.85</x:v>
      </x:c>
      <x:c r="H174" s="122" t="n">
        <x:f>IF(OR(A174="",G174=""),"",ROUND('00_Eingabe'!$B$9*G174,0))</x:f>
        <x:v>3</x:v>
      </x:c>
      <x:c r="I174" s="122" t="n">
        <x:f>IF(H174="","",ROUND(H174*'00_Eingabe'!$B$19,0))</x:f>
        <x:v>7</x:v>
      </x:c>
      <x:c r="J174" s="122" t="n">
        <x:f>IF(OR(F174="",I174=""),"",F174+I174)</x:f>
        <x:v>64</x:v>
      </x:c>
      <x:c r="K174" s="122" t="n">
        <x:f>IF(J174="","",ROUND(J174*'00_Eingabe'!$B$16*(1+'00_Eingabe'!$B$14),0))</x:f>
        <x:v>74</x:v>
      </x:c>
      <x:c r="L174" s="122" t="n">
        <x:f>IF(B174="Betriebsferien",0,ROUND(J174*'00_Eingabe'!$B$40,0)+IF(C174="Wochenende",'00_Eingabe'!$B$42,'00_Eingabe'!$B$41))</x:f>
        <x:v>63</x:v>
      </x:c>
      <x:c r="M174" s="123" t="n">
        <x:f>IF(J174="","",ROUND(J174*'00_Eingabe'!$B$17*(1+'00_Eingabe'!$B$15),0))</x:f>
        <x:v>74</x:v>
      </x:c>
      <x:c r="N174" s="106"/>
      <x:c r="O174" s="106"/>
      <x:c r="P174" s="116"/>
      <x:c r="Q174" s="213" t="n">
        <x:f>IF(C174="Wochenende",1,0)</x:f>
        <x:v>0</x:v>
      </x:c>
      <x:c r="R174" s="213" t="n">
        <x:f>IF(AND(B174&lt;&gt;"Betriebsferien",OR(WEEKDAY(A174,2)=2,WEEKDAY(A174,2)=4)),1,0)</x:f>
        <x:v>0</x:v>
      </x:c>
      <x:c r="S174" s="214" t="n">
        <x:f>R174*MIN(1,'00_Eingabe'!$B$62/'00_Eingabe'!$B$61)</x:f>
        <x:v>0</x:v>
      </x:c>
      <x:c r="T174" s="213" t="n">
        <x:f>IF(B174="Betriebsferien",0,IF(B174="Nebensaison",IF(OR(WEEKDAY(A174,2)=1,WEEKDAY(A174,2)=3,WEEKDAY(A174,2)=5),1,0),IF(C174="Unterwoche",1,0)))</x:f>
        <x:v>1</x:v>
      </x:c>
      <x:c r="U174" s="213" t="n">
        <x:f>IF(B174="Betriebsferien",0,'00_Eingabe'!$G$24)</x:f>
        <x:v>8</x:v>
      </x:c>
    </x:row>
    <x:row r="175">
      <x:c r="A175" s="121" t="n">
        <x:f>IF(ROW()-4&lt;DATE('00_Eingabe'!$B$7+1,1,1)-DATE('00_Eingabe'!$B$7,1,1),DATE('00_Eingabe'!$B$7,1,1)+ROW()-4,"")</x:f>
        <x:v>45829</x:v>
      </x:c>
      <x:c r="B175" s="122" t="str">
        <x:f>IF(A175="","",IF(OR(AND(MONTH(A175)=12,DAY(A175)&gt;=20),AND(MONTH(A175)=1,DAY(A175)&lt;=2)),"Weihnachten",IF(OR(AND(MONTH(A175)=11,DAY(A175)&gt;=24),AND(MONTH(A175)=12,DAY(A175)&lt;=7)),"Betriebsferien",IF(OR(AND(MONTH(A175)=1,DAY(A175)&gt;=3),MONTH(A175)=2,MONTH(A175)=3,MONTH(A175)=4,MONTH(A175)=10,MONTH(A175)=11,AND(MONTH(A175)=12,DAY(A175)&lt;=15)),"Nebensaison","Hauptsaison"))))</x:f>
        <x:v>Hauptsaison</x:v>
      </x:c>
      <x:c r="C175" s="122" t="str">
        <x:f>IF(A175="","",IF(WEEKDAY(A175,2)&gt;=6,"Wochenende","Unterwoche"))</x:f>
        <x:v>Wochenende</x:v>
      </x:c>
      <x:c r="D175" s="123" t="n">
        <x:f>IF(A175="","",IF(N175&lt;&gt;"",N175,IF(B175="Nebensaison",IF(C175="Wochenende",'00_Eingabe'!$C$24,'00_Eingabe'!$B$24),IF(B175="Hauptsaison",IF(C175="Wochenende",'00_Eingabe'!$C$25,'00_Eingabe'!$B$25),IF(B175="Weihnachten",IF(C175="Wochenende",'00_Eingabe'!$C$26,'00_Eingabe'!$B$26),IF(C175="Wochenende",'00_Eingabe'!$C$27,'00_Eingabe'!$B$27))))))</x:f>
        <x:v>0.9</x:v>
      </x:c>
      <x:c r="E175" s="122" t="n">
        <x:f>IF(OR(A175="",D175=""),"",ROUND('00_Eingabe'!$B$8*D175,0))</x:f>
        <x:v>32</x:v>
      </x:c>
      <x:c r="F175" s="122" t="n">
        <x:f>IF(E175="","",ROUND(E175*'00_Eingabe'!$B$18,0))</x:f>
        <x:v>61</x:v>
      </x:c>
      <x:c r="G175" s="123" t="n">
        <x:f>IF(A175="","",IF(O175&lt;&gt;"",O175,IF(B175="Nebensaison",IF(C175="Wochenende",'00_Eingabe'!$E$24,'00_Eingabe'!$D$24),IF(B175="Hauptsaison",IF(C175="Wochenende",'00_Eingabe'!$E$25,'00_Eingabe'!$D$25),IF(B175="Weihnachten",IF(C175="Wochenende",'00_Eingabe'!$E$26,'00_Eingabe'!$D$26),IF(C175="Wochenende",'00_Eingabe'!$E$27,'00_Eingabe'!$D$27))))))</x:f>
        <x:v>0.9</x:v>
      </x:c>
      <x:c r="H175" s="122" t="n">
        <x:f>IF(OR(A175="",G175=""),"",ROUND('00_Eingabe'!$B$9*G175,0))</x:f>
        <x:v>4</x:v>
      </x:c>
      <x:c r="I175" s="122" t="n">
        <x:f>IF(H175="","",ROUND(H175*'00_Eingabe'!$B$19,0))</x:f>
        <x:v>9</x:v>
      </x:c>
      <x:c r="J175" s="122" t="n">
        <x:f>IF(OR(F175="",I175=""),"",F175+I175)</x:f>
        <x:v>70</x:v>
      </x:c>
      <x:c r="K175" s="122" t="n">
        <x:f>IF(J175="","",ROUND(J175*'00_Eingabe'!$B$16*(1+'00_Eingabe'!$B$14),0))</x:f>
        <x:v>81</x:v>
      </x:c>
      <x:c r="L175" s="122" t="n">
        <x:f>IF(B175="Betriebsferien",0,ROUND(J175*'00_Eingabe'!$B$40,0)+IF(C175="Wochenende",'00_Eingabe'!$B$42,'00_Eingabe'!$B$41))</x:f>
        <x:v>93</x:v>
      </x:c>
      <x:c r="M175" s="123" t="n">
        <x:f>IF(J175="","",ROUND(J175*'00_Eingabe'!$B$17*(1+'00_Eingabe'!$B$15),0))</x:f>
        <x:v>81</x:v>
      </x:c>
      <x:c r="N175" s="106"/>
      <x:c r="O175" s="106"/>
      <x:c r="P175" s="116"/>
      <x:c r="Q175" s="213" t="n">
        <x:f>IF(C175="Wochenende",1,0)</x:f>
        <x:v>1</x:v>
      </x:c>
      <x:c r="R175" s="213" t="n">
        <x:f>IF(AND(B175&lt;&gt;"Betriebsferien",OR(WEEKDAY(A175,2)=2,WEEKDAY(A175,2)=4)),1,0)</x:f>
        <x:v>0</x:v>
      </x:c>
      <x:c r="S175" s="214" t="n">
        <x:f>R175*MIN(1,'00_Eingabe'!$B$62/'00_Eingabe'!$B$61)</x:f>
        <x:v>0</x:v>
      </x:c>
      <x:c r="T175" s="213" t="n">
        <x:f>IF(B175="Betriebsferien",0,IF(B175="Nebensaison",IF(OR(WEEKDAY(A175,2)=1,WEEKDAY(A175,2)=3,WEEKDAY(A175,2)=5),1,0),IF(C175="Unterwoche",1,0)))</x:f>
        <x:v>0</x:v>
      </x:c>
      <x:c r="U175" s="213" t="n">
        <x:f>IF(B175="Betriebsferien",0,'00_Eingabe'!$G$24)</x:f>
        <x:v>8</x:v>
      </x:c>
    </x:row>
    <x:row r="176">
      <x:c r="A176" s="121" t="n">
        <x:f>IF(ROW()-4&lt;DATE('00_Eingabe'!$B$7+1,1,1)-DATE('00_Eingabe'!$B$7,1,1),DATE('00_Eingabe'!$B$7,1,1)+ROW()-4,"")</x:f>
        <x:v>45830</x:v>
      </x:c>
      <x:c r="B176" s="122" t="str">
        <x:f>IF(A176="","",IF(OR(AND(MONTH(A176)=12,DAY(A176)&gt;=20),AND(MONTH(A176)=1,DAY(A176)&lt;=2)),"Weihnachten",IF(OR(AND(MONTH(A176)=11,DAY(A176)&gt;=24),AND(MONTH(A176)=12,DAY(A176)&lt;=7)),"Betriebsferien",IF(OR(AND(MONTH(A176)=1,DAY(A176)&gt;=3),MONTH(A176)=2,MONTH(A176)=3,MONTH(A176)=4,MONTH(A176)=10,MONTH(A176)=11,AND(MONTH(A176)=12,DAY(A176)&lt;=15)),"Nebensaison","Hauptsaison"))))</x:f>
        <x:v>Hauptsaison</x:v>
      </x:c>
      <x:c r="C176" s="122" t="str">
        <x:f>IF(A176="","",IF(WEEKDAY(A176,2)&gt;=6,"Wochenende","Unterwoche"))</x:f>
        <x:v>Wochenende</x:v>
      </x:c>
      <x:c r="D176" s="123" t="n">
        <x:f>IF(A176="","",IF(N176&lt;&gt;"",N176,IF(B176="Nebensaison",IF(C176="Wochenende",'00_Eingabe'!$C$24,'00_Eingabe'!$B$24),IF(B176="Hauptsaison",IF(C176="Wochenende",'00_Eingabe'!$C$25,'00_Eingabe'!$B$25),IF(B176="Weihnachten",IF(C176="Wochenende",'00_Eingabe'!$C$26,'00_Eingabe'!$B$26),IF(C176="Wochenende",'00_Eingabe'!$C$27,'00_Eingabe'!$B$27))))))</x:f>
        <x:v>0.9</x:v>
      </x:c>
      <x:c r="E176" s="122" t="n">
        <x:f>IF(OR(A176="",D176=""),"",ROUND('00_Eingabe'!$B$8*D176,0))</x:f>
        <x:v>32</x:v>
      </x:c>
      <x:c r="F176" s="122" t="n">
        <x:f>IF(E176="","",ROUND(E176*'00_Eingabe'!$B$18,0))</x:f>
        <x:v>61</x:v>
      </x:c>
      <x:c r="G176" s="123" t="n">
        <x:f>IF(A176="","",IF(O176&lt;&gt;"",O176,IF(B176="Nebensaison",IF(C176="Wochenende",'00_Eingabe'!$E$24,'00_Eingabe'!$D$24),IF(B176="Hauptsaison",IF(C176="Wochenende",'00_Eingabe'!$E$25,'00_Eingabe'!$D$25),IF(B176="Weihnachten",IF(C176="Wochenende",'00_Eingabe'!$E$26,'00_Eingabe'!$D$26),IF(C176="Wochenende",'00_Eingabe'!$E$27,'00_Eingabe'!$D$27))))))</x:f>
        <x:v>0.9</x:v>
      </x:c>
      <x:c r="H176" s="122" t="n">
        <x:f>IF(OR(A176="",G176=""),"",ROUND('00_Eingabe'!$B$9*G176,0))</x:f>
        <x:v>4</x:v>
      </x:c>
      <x:c r="I176" s="122" t="n">
        <x:f>IF(H176="","",ROUND(H176*'00_Eingabe'!$B$19,0))</x:f>
        <x:v>9</x:v>
      </x:c>
      <x:c r="J176" s="122" t="n">
        <x:f>IF(OR(F176="",I176=""),"",F176+I176)</x:f>
        <x:v>70</x:v>
      </x:c>
      <x:c r="K176" s="122" t="n">
        <x:f>IF(J176="","",ROUND(J176*'00_Eingabe'!$B$16*(1+'00_Eingabe'!$B$14),0))</x:f>
        <x:v>81</x:v>
      </x:c>
      <x:c r="L176" s="122" t="n">
        <x:f>IF(B176="Betriebsferien",0,ROUND(J176*'00_Eingabe'!$B$40,0)+IF(C176="Wochenende",'00_Eingabe'!$B$42,'00_Eingabe'!$B$41))</x:f>
        <x:v>93</x:v>
      </x:c>
      <x:c r="M176" s="123" t="n">
        <x:f>IF(J176="","",ROUND(J176*'00_Eingabe'!$B$17*(1+'00_Eingabe'!$B$15),0))</x:f>
        <x:v>81</x:v>
      </x:c>
      <x:c r="N176" s="106"/>
      <x:c r="O176" s="106"/>
      <x:c r="P176" s="116"/>
      <x:c r="Q176" s="213" t="n">
        <x:f>IF(C176="Wochenende",1,0)</x:f>
        <x:v>1</x:v>
      </x:c>
      <x:c r="R176" s="213" t="n">
        <x:f>IF(AND(B176&lt;&gt;"Betriebsferien",OR(WEEKDAY(A176,2)=2,WEEKDAY(A176,2)=4)),1,0)</x:f>
        <x:v>0</x:v>
      </x:c>
      <x:c r="S176" s="214" t="n">
        <x:f>R176*MIN(1,'00_Eingabe'!$B$62/'00_Eingabe'!$B$61)</x:f>
        <x:v>0</x:v>
      </x:c>
      <x:c r="T176" s="213" t="n">
        <x:f>IF(B176="Betriebsferien",0,IF(B176="Nebensaison",IF(OR(WEEKDAY(A176,2)=1,WEEKDAY(A176,2)=3,WEEKDAY(A176,2)=5),1,0),IF(C176="Unterwoche",1,0)))</x:f>
        <x:v>0</x:v>
      </x:c>
      <x:c r="U176" s="213" t="n">
        <x:f>IF(B176="Betriebsferien",0,'00_Eingabe'!$G$24)</x:f>
        <x:v>8</x:v>
      </x:c>
    </x:row>
    <x:row r="177">
      <x:c r="A177" s="121" t="n">
        <x:f>IF(ROW()-4&lt;DATE('00_Eingabe'!$B$7+1,1,1)-DATE('00_Eingabe'!$B$7,1,1),DATE('00_Eingabe'!$B$7,1,1)+ROW()-4,"")</x:f>
        <x:v>45831</x:v>
      </x:c>
      <x:c r="B177" s="122" t="str">
        <x:f>IF(A177="","",IF(OR(AND(MONTH(A177)=12,DAY(A177)&gt;=20),AND(MONTH(A177)=1,DAY(A177)&lt;=2)),"Weihnachten",IF(OR(AND(MONTH(A177)=11,DAY(A177)&gt;=24),AND(MONTH(A177)=12,DAY(A177)&lt;=7)),"Betriebsferien",IF(OR(AND(MONTH(A177)=1,DAY(A177)&gt;=3),MONTH(A177)=2,MONTH(A177)=3,MONTH(A177)=4,MONTH(A177)=10,MONTH(A177)=11,AND(MONTH(A177)=12,DAY(A177)&lt;=15)),"Nebensaison","Hauptsaison"))))</x:f>
        <x:v>Hauptsaison</x:v>
      </x:c>
      <x:c r="C177" s="122" t="str">
        <x:f>IF(A177="","",IF(WEEKDAY(A177,2)&gt;=6,"Wochenende","Unterwoche"))</x:f>
        <x:v>Unterwoche</x:v>
      </x:c>
      <x:c r="D177" s="123" t="n">
        <x:f>IF(A177="","",IF(N177&lt;&gt;"",N177,IF(B177="Nebensaison",IF(C177="Wochenende",'00_Eingabe'!$C$24,'00_Eingabe'!$B$24),IF(B177="Hauptsaison",IF(C177="Wochenende",'00_Eingabe'!$C$25,'00_Eingabe'!$B$25),IF(B177="Weihnachten",IF(C177="Wochenende",'00_Eingabe'!$C$26,'00_Eingabe'!$B$26),IF(C177="Wochenende",'00_Eingabe'!$C$27,'00_Eingabe'!$B$27))))))</x:f>
        <x:v>0.85</x:v>
      </x:c>
      <x:c r="E177" s="122" t="n">
        <x:f>IF(OR(A177="",D177=""),"",ROUND('00_Eingabe'!$B$8*D177,0))</x:f>
        <x:v>30</x:v>
      </x:c>
      <x:c r="F177" s="122" t="n">
        <x:f>IF(E177="","",ROUND(E177*'00_Eingabe'!$B$18,0))</x:f>
        <x:v>57</x:v>
      </x:c>
      <x:c r="G177" s="123" t="n">
        <x:f>IF(A177="","",IF(O177&lt;&gt;"",O177,IF(B177="Nebensaison",IF(C177="Wochenende",'00_Eingabe'!$E$24,'00_Eingabe'!$D$24),IF(B177="Hauptsaison",IF(C177="Wochenende",'00_Eingabe'!$E$25,'00_Eingabe'!$D$25),IF(B177="Weihnachten",IF(C177="Wochenende",'00_Eingabe'!$E$26,'00_Eingabe'!$D$26),IF(C177="Wochenende",'00_Eingabe'!$E$27,'00_Eingabe'!$D$27))))))</x:f>
        <x:v>0.85</x:v>
      </x:c>
      <x:c r="H177" s="122" t="n">
        <x:f>IF(OR(A177="",G177=""),"",ROUND('00_Eingabe'!$B$9*G177,0))</x:f>
        <x:v>3</x:v>
      </x:c>
      <x:c r="I177" s="122" t="n">
        <x:f>IF(H177="","",ROUND(H177*'00_Eingabe'!$B$19,0))</x:f>
        <x:v>7</x:v>
      </x:c>
      <x:c r="J177" s="122" t="n">
        <x:f>IF(OR(F177="",I177=""),"",F177+I177)</x:f>
        <x:v>64</x:v>
      </x:c>
      <x:c r="K177" s="122" t="n">
        <x:f>IF(J177="","",ROUND(J177*'00_Eingabe'!$B$16*(1+'00_Eingabe'!$B$14),0))</x:f>
        <x:v>74</x:v>
      </x:c>
      <x:c r="L177" s="122" t="n">
        <x:f>IF(B177="Betriebsferien",0,ROUND(J177*'00_Eingabe'!$B$40,0)+IF(C177="Wochenende",'00_Eingabe'!$B$42,'00_Eingabe'!$B$41))</x:f>
        <x:v>63</x:v>
      </x:c>
      <x:c r="M177" s="123" t="n">
        <x:f>IF(J177="","",ROUND(J177*'00_Eingabe'!$B$17*(1+'00_Eingabe'!$B$15),0))</x:f>
        <x:v>74</x:v>
      </x:c>
      <x:c r="N177" s="106"/>
      <x:c r="O177" s="106"/>
      <x:c r="P177" s="116"/>
      <x:c r="Q177" s="213" t="n">
        <x:f>IF(C177="Wochenende",1,0)</x:f>
        <x:v>0</x:v>
      </x:c>
      <x:c r="R177" s="213" t="n">
        <x:f>IF(AND(B177&lt;&gt;"Betriebsferien",OR(WEEKDAY(A177,2)=2,WEEKDAY(A177,2)=4)),1,0)</x:f>
        <x:v>0</x:v>
      </x:c>
      <x:c r="S177" s="214" t="n">
        <x:f>R177*MIN(1,'00_Eingabe'!$B$62/'00_Eingabe'!$B$61)</x:f>
        <x:v>0</x:v>
      </x:c>
      <x:c r="T177" s="213" t="n">
        <x:f>IF(B177="Betriebsferien",0,IF(B177="Nebensaison",IF(OR(WEEKDAY(A177,2)=1,WEEKDAY(A177,2)=3,WEEKDAY(A177,2)=5),1,0),IF(C177="Unterwoche",1,0)))</x:f>
        <x:v>1</x:v>
      </x:c>
      <x:c r="U177" s="213" t="n">
        <x:f>IF(B177="Betriebsferien",0,'00_Eingabe'!$G$24)</x:f>
        <x:v>8</x:v>
      </x:c>
    </x:row>
    <x:row r="178">
      <x:c r="A178" s="121" t="n">
        <x:f>IF(ROW()-4&lt;DATE('00_Eingabe'!$B$7+1,1,1)-DATE('00_Eingabe'!$B$7,1,1),DATE('00_Eingabe'!$B$7,1,1)+ROW()-4,"")</x:f>
        <x:v>45832</x:v>
      </x:c>
      <x:c r="B178" s="122" t="str">
        <x:f>IF(A178="","",IF(OR(AND(MONTH(A178)=12,DAY(A178)&gt;=20),AND(MONTH(A178)=1,DAY(A178)&lt;=2)),"Weihnachten",IF(OR(AND(MONTH(A178)=11,DAY(A178)&gt;=24),AND(MONTH(A178)=12,DAY(A178)&lt;=7)),"Betriebsferien",IF(OR(AND(MONTH(A178)=1,DAY(A178)&gt;=3),MONTH(A178)=2,MONTH(A178)=3,MONTH(A178)=4,MONTH(A178)=10,MONTH(A178)=11,AND(MONTH(A178)=12,DAY(A178)&lt;=15)),"Nebensaison","Hauptsaison"))))</x:f>
        <x:v>Hauptsaison</x:v>
      </x:c>
      <x:c r="C178" s="122" t="str">
        <x:f>IF(A178="","",IF(WEEKDAY(A178,2)&gt;=6,"Wochenende","Unterwoche"))</x:f>
        <x:v>Unterwoche</x:v>
      </x:c>
      <x:c r="D178" s="123" t="n">
        <x:f>IF(A178="","",IF(N178&lt;&gt;"",N178,IF(B178="Nebensaison",IF(C178="Wochenende",'00_Eingabe'!$C$24,'00_Eingabe'!$B$24),IF(B178="Hauptsaison",IF(C178="Wochenende",'00_Eingabe'!$C$25,'00_Eingabe'!$B$25),IF(B178="Weihnachten",IF(C178="Wochenende",'00_Eingabe'!$C$26,'00_Eingabe'!$B$26),IF(C178="Wochenende",'00_Eingabe'!$C$27,'00_Eingabe'!$B$27))))))</x:f>
        <x:v>0.85</x:v>
      </x:c>
      <x:c r="E178" s="122" t="n">
        <x:f>IF(OR(A178="",D178=""),"",ROUND('00_Eingabe'!$B$8*D178,0))</x:f>
        <x:v>30</x:v>
      </x:c>
      <x:c r="F178" s="122" t="n">
        <x:f>IF(E178="","",ROUND(E178*'00_Eingabe'!$B$18,0))</x:f>
        <x:v>57</x:v>
      </x:c>
      <x:c r="G178" s="123" t="n">
        <x:f>IF(A178="","",IF(O178&lt;&gt;"",O178,IF(B178="Nebensaison",IF(C178="Wochenende",'00_Eingabe'!$E$24,'00_Eingabe'!$D$24),IF(B178="Hauptsaison",IF(C178="Wochenende",'00_Eingabe'!$E$25,'00_Eingabe'!$D$25),IF(B178="Weihnachten",IF(C178="Wochenende",'00_Eingabe'!$E$26,'00_Eingabe'!$D$26),IF(C178="Wochenende",'00_Eingabe'!$E$27,'00_Eingabe'!$D$27))))))</x:f>
        <x:v>0.85</x:v>
      </x:c>
      <x:c r="H178" s="122" t="n">
        <x:f>IF(OR(A178="",G178=""),"",ROUND('00_Eingabe'!$B$9*G178,0))</x:f>
        <x:v>3</x:v>
      </x:c>
      <x:c r="I178" s="122" t="n">
        <x:f>IF(H178="","",ROUND(H178*'00_Eingabe'!$B$19,0))</x:f>
        <x:v>7</x:v>
      </x:c>
      <x:c r="J178" s="122" t="n">
        <x:f>IF(OR(F178="",I178=""),"",F178+I178)</x:f>
        <x:v>64</x:v>
      </x:c>
      <x:c r="K178" s="122" t="n">
        <x:f>IF(J178="","",ROUND(J178*'00_Eingabe'!$B$16*(1+'00_Eingabe'!$B$14),0))</x:f>
        <x:v>74</x:v>
      </x:c>
      <x:c r="L178" s="122" t="n">
        <x:f>IF(B178="Betriebsferien",0,ROUND(J178*'00_Eingabe'!$B$40,0)+IF(C178="Wochenende",'00_Eingabe'!$B$42,'00_Eingabe'!$B$41))</x:f>
        <x:v>63</x:v>
      </x:c>
      <x:c r="M178" s="123" t="n">
        <x:f>IF(J178="","",ROUND(J178*'00_Eingabe'!$B$17*(1+'00_Eingabe'!$B$15),0))</x:f>
        <x:v>74</x:v>
      </x:c>
      <x:c r="N178" s="106"/>
      <x:c r="O178" s="106"/>
      <x:c r="P178" s="116"/>
      <x:c r="Q178" s="213" t="n">
        <x:f>IF(C178="Wochenende",1,0)</x:f>
        <x:v>0</x:v>
      </x:c>
      <x:c r="R178" s="213" t="n">
        <x:f>IF(AND(B178&lt;&gt;"Betriebsferien",OR(WEEKDAY(A178,2)=2,WEEKDAY(A178,2)=4)),1,0)</x:f>
        <x:v>1</x:v>
      </x:c>
      <x:c r="S178" s="214" t="n">
        <x:f>R178*MIN(1,'00_Eingabe'!$B$62/'00_Eingabe'!$B$61)</x:f>
        <x:v>0.5</x:v>
      </x:c>
      <x:c r="T178" s="213" t="n">
        <x:f>IF(B178="Betriebsferien",0,IF(B178="Nebensaison",IF(OR(WEEKDAY(A178,2)=1,WEEKDAY(A178,2)=3,WEEKDAY(A178,2)=5),1,0),IF(C178="Unterwoche",1,0)))</x:f>
        <x:v>1</x:v>
      </x:c>
      <x:c r="U178" s="213" t="n">
        <x:f>IF(B178="Betriebsferien",0,'00_Eingabe'!$G$24)</x:f>
        <x:v>8</x:v>
      </x:c>
    </x:row>
    <x:row r="179">
      <x:c r="A179" s="121" t="n">
        <x:f>IF(ROW()-4&lt;DATE('00_Eingabe'!$B$7+1,1,1)-DATE('00_Eingabe'!$B$7,1,1),DATE('00_Eingabe'!$B$7,1,1)+ROW()-4,"")</x:f>
        <x:v>45833</x:v>
      </x:c>
      <x:c r="B179" s="122" t="str">
        <x:f>IF(A179="","",IF(OR(AND(MONTH(A179)=12,DAY(A179)&gt;=20),AND(MONTH(A179)=1,DAY(A179)&lt;=2)),"Weihnachten",IF(OR(AND(MONTH(A179)=11,DAY(A179)&gt;=24),AND(MONTH(A179)=12,DAY(A179)&lt;=7)),"Betriebsferien",IF(OR(AND(MONTH(A179)=1,DAY(A179)&gt;=3),MONTH(A179)=2,MONTH(A179)=3,MONTH(A179)=4,MONTH(A179)=10,MONTH(A179)=11,AND(MONTH(A179)=12,DAY(A179)&lt;=15)),"Nebensaison","Hauptsaison"))))</x:f>
        <x:v>Hauptsaison</x:v>
      </x:c>
      <x:c r="C179" s="122" t="str">
        <x:f>IF(A179="","",IF(WEEKDAY(A179,2)&gt;=6,"Wochenende","Unterwoche"))</x:f>
        <x:v>Unterwoche</x:v>
      </x:c>
      <x:c r="D179" s="123" t="n">
        <x:f>IF(A179="","",IF(N179&lt;&gt;"",N179,IF(B179="Nebensaison",IF(C179="Wochenende",'00_Eingabe'!$C$24,'00_Eingabe'!$B$24),IF(B179="Hauptsaison",IF(C179="Wochenende",'00_Eingabe'!$C$25,'00_Eingabe'!$B$25),IF(B179="Weihnachten",IF(C179="Wochenende",'00_Eingabe'!$C$26,'00_Eingabe'!$B$26),IF(C179="Wochenende",'00_Eingabe'!$C$27,'00_Eingabe'!$B$27))))))</x:f>
        <x:v>0.85</x:v>
      </x:c>
      <x:c r="E179" s="122" t="n">
        <x:f>IF(OR(A179="",D179=""),"",ROUND('00_Eingabe'!$B$8*D179,0))</x:f>
        <x:v>30</x:v>
      </x:c>
      <x:c r="F179" s="122" t="n">
        <x:f>IF(E179="","",ROUND(E179*'00_Eingabe'!$B$18,0))</x:f>
        <x:v>57</x:v>
      </x:c>
      <x:c r="G179" s="123" t="n">
        <x:f>IF(A179="","",IF(O179&lt;&gt;"",O179,IF(B179="Nebensaison",IF(C179="Wochenende",'00_Eingabe'!$E$24,'00_Eingabe'!$D$24),IF(B179="Hauptsaison",IF(C179="Wochenende",'00_Eingabe'!$E$25,'00_Eingabe'!$D$25),IF(B179="Weihnachten",IF(C179="Wochenende",'00_Eingabe'!$E$26,'00_Eingabe'!$D$26),IF(C179="Wochenende",'00_Eingabe'!$E$27,'00_Eingabe'!$D$27))))))</x:f>
        <x:v>0.85</x:v>
      </x:c>
      <x:c r="H179" s="122" t="n">
        <x:f>IF(OR(A179="",G179=""),"",ROUND('00_Eingabe'!$B$9*G179,0))</x:f>
        <x:v>3</x:v>
      </x:c>
      <x:c r="I179" s="122" t="n">
        <x:f>IF(H179="","",ROUND(H179*'00_Eingabe'!$B$19,0))</x:f>
        <x:v>7</x:v>
      </x:c>
      <x:c r="J179" s="122" t="n">
        <x:f>IF(OR(F179="",I179=""),"",F179+I179)</x:f>
        <x:v>64</x:v>
      </x:c>
      <x:c r="K179" s="122" t="n">
        <x:f>IF(J179="","",ROUND(J179*'00_Eingabe'!$B$16*(1+'00_Eingabe'!$B$14),0))</x:f>
        <x:v>74</x:v>
      </x:c>
      <x:c r="L179" s="122" t="n">
        <x:f>IF(B179="Betriebsferien",0,ROUND(J179*'00_Eingabe'!$B$40,0)+IF(C179="Wochenende",'00_Eingabe'!$B$42,'00_Eingabe'!$B$41))</x:f>
        <x:v>63</x:v>
      </x:c>
      <x:c r="M179" s="123" t="n">
        <x:f>IF(J179="","",ROUND(J179*'00_Eingabe'!$B$17*(1+'00_Eingabe'!$B$15),0))</x:f>
        <x:v>74</x:v>
      </x:c>
      <x:c r="N179" s="106"/>
      <x:c r="O179" s="106"/>
      <x:c r="P179" s="116"/>
      <x:c r="Q179" s="213" t="n">
        <x:f>IF(C179="Wochenende",1,0)</x:f>
        <x:v>0</x:v>
      </x:c>
      <x:c r="R179" s="213" t="n">
        <x:f>IF(AND(B179&lt;&gt;"Betriebsferien",OR(WEEKDAY(A179,2)=2,WEEKDAY(A179,2)=4)),1,0)</x:f>
        <x:v>0</x:v>
      </x:c>
      <x:c r="S179" s="214" t="n">
        <x:f>R179*MIN(1,'00_Eingabe'!$B$62/'00_Eingabe'!$B$61)</x:f>
        <x:v>0</x:v>
      </x:c>
      <x:c r="T179" s="213" t="n">
        <x:f>IF(B179="Betriebsferien",0,IF(B179="Nebensaison",IF(OR(WEEKDAY(A179,2)=1,WEEKDAY(A179,2)=3,WEEKDAY(A179,2)=5),1,0),IF(C179="Unterwoche",1,0)))</x:f>
        <x:v>1</x:v>
      </x:c>
      <x:c r="U179" s="213" t="n">
        <x:f>IF(B179="Betriebsferien",0,'00_Eingabe'!$G$24)</x:f>
        <x:v>8</x:v>
      </x:c>
    </x:row>
    <x:row r="180">
      <x:c r="A180" s="121" t="n">
        <x:f>IF(ROW()-4&lt;DATE('00_Eingabe'!$B$7+1,1,1)-DATE('00_Eingabe'!$B$7,1,1),DATE('00_Eingabe'!$B$7,1,1)+ROW()-4,"")</x:f>
        <x:v>45834</x:v>
      </x:c>
      <x:c r="B180" s="122" t="str">
        <x:f>IF(A180="","",IF(OR(AND(MONTH(A180)=12,DAY(A180)&gt;=20),AND(MONTH(A180)=1,DAY(A180)&lt;=2)),"Weihnachten",IF(OR(AND(MONTH(A180)=11,DAY(A180)&gt;=24),AND(MONTH(A180)=12,DAY(A180)&lt;=7)),"Betriebsferien",IF(OR(AND(MONTH(A180)=1,DAY(A180)&gt;=3),MONTH(A180)=2,MONTH(A180)=3,MONTH(A180)=4,MONTH(A180)=10,MONTH(A180)=11,AND(MONTH(A180)=12,DAY(A180)&lt;=15)),"Nebensaison","Hauptsaison"))))</x:f>
        <x:v>Hauptsaison</x:v>
      </x:c>
      <x:c r="C180" s="122" t="str">
        <x:f>IF(A180="","",IF(WEEKDAY(A180,2)&gt;=6,"Wochenende","Unterwoche"))</x:f>
        <x:v>Unterwoche</x:v>
      </x:c>
      <x:c r="D180" s="123" t="n">
        <x:f>IF(A180="","",IF(N180&lt;&gt;"",N180,IF(B180="Nebensaison",IF(C180="Wochenende",'00_Eingabe'!$C$24,'00_Eingabe'!$B$24),IF(B180="Hauptsaison",IF(C180="Wochenende",'00_Eingabe'!$C$25,'00_Eingabe'!$B$25),IF(B180="Weihnachten",IF(C180="Wochenende",'00_Eingabe'!$C$26,'00_Eingabe'!$B$26),IF(C180="Wochenende",'00_Eingabe'!$C$27,'00_Eingabe'!$B$27))))))</x:f>
        <x:v>0.85</x:v>
      </x:c>
      <x:c r="E180" s="122" t="n">
        <x:f>IF(OR(A180="",D180=""),"",ROUND('00_Eingabe'!$B$8*D180,0))</x:f>
        <x:v>30</x:v>
      </x:c>
      <x:c r="F180" s="122" t="n">
        <x:f>IF(E180="","",ROUND(E180*'00_Eingabe'!$B$18,0))</x:f>
        <x:v>57</x:v>
      </x:c>
      <x:c r="G180" s="123" t="n">
        <x:f>IF(A180="","",IF(O180&lt;&gt;"",O180,IF(B180="Nebensaison",IF(C180="Wochenende",'00_Eingabe'!$E$24,'00_Eingabe'!$D$24),IF(B180="Hauptsaison",IF(C180="Wochenende",'00_Eingabe'!$E$25,'00_Eingabe'!$D$25),IF(B180="Weihnachten",IF(C180="Wochenende",'00_Eingabe'!$E$26,'00_Eingabe'!$D$26),IF(C180="Wochenende",'00_Eingabe'!$E$27,'00_Eingabe'!$D$27))))))</x:f>
        <x:v>0.85</x:v>
      </x:c>
      <x:c r="H180" s="122" t="n">
        <x:f>IF(OR(A180="",G180=""),"",ROUND('00_Eingabe'!$B$9*G180,0))</x:f>
        <x:v>3</x:v>
      </x:c>
      <x:c r="I180" s="122" t="n">
        <x:f>IF(H180="","",ROUND(H180*'00_Eingabe'!$B$19,0))</x:f>
        <x:v>7</x:v>
      </x:c>
      <x:c r="J180" s="122" t="n">
        <x:f>IF(OR(F180="",I180=""),"",F180+I180)</x:f>
        <x:v>64</x:v>
      </x:c>
      <x:c r="K180" s="122" t="n">
        <x:f>IF(J180="","",ROUND(J180*'00_Eingabe'!$B$16*(1+'00_Eingabe'!$B$14),0))</x:f>
        <x:v>74</x:v>
      </x:c>
      <x:c r="L180" s="122" t="n">
        <x:f>IF(B180="Betriebsferien",0,ROUND(J180*'00_Eingabe'!$B$40,0)+IF(C180="Wochenende",'00_Eingabe'!$B$42,'00_Eingabe'!$B$41))</x:f>
        <x:v>63</x:v>
      </x:c>
      <x:c r="M180" s="123" t="n">
        <x:f>IF(J180="","",ROUND(J180*'00_Eingabe'!$B$17*(1+'00_Eingabe'!$B$15),0))</x:f>
        <x:v>74</x:v>
      </x:c>
      <x:c r="N180" s="106"/>
      <x:c r="O180" s="106"/>
      <x:c r="P180" s="116"/>
      <x:c r="Q180" s="213" t="n">
        <x:f>IF(C180="Wochenende",1,0)</x:f>
        <x:v>0</x:v>
      </x:c>
      <x:c r="R180" s="213" t="n">
        <x:f>IF(AND(B180&lt;&gt;"Betriebsferien",OR(WEEKDAY(A180,2)=2,WEEKDAY(A180,2)=4)),1,0)</x:f>
        <x:v>1</x:v>
      </x:c>
      <x:c r="S180" s="214" t="n">
        <x:f>R180*MIN(1,'00_Eingabe'!$B$62/'00_Eingabe'!$B$61)</x:f>
        <x:v>0.5</x:v>
      </x:c>
      <x:c r="T180" s="213" t="n">
        <x:f>IF(B180="Betriebsferien",0,IF(B180="Nebensaison",IF(OR(WEEKDAY(A180,2)=1,WEEKDAY(A180,2)=3,WEEKDAY(A180,2)=5),1,0),IF(C180="Unterwoche",1,0)))</x:f>
        <x:v>1</x:v>
      </x:c>
      <x:c r="U180" s="213" t="n">
        <x:f>IF(B180="Betriebsferien",0,'00_Eingabe'!$G$24)</x:f>
        <x:v>8</x:v>
      </x:c>
    </x:row>
    <x:row r="181">
      <x:c r="A181" s="121" t="n">
        <x:f>IF(ROW()-4&lt;DATE('00_Eingabe'!$B$7+1,1,1)-DATE('00_Eingabe'!$B$7,1,1),DATE('00_Eingabe'!$B$7,1,1)+ROW()-4,"")</x:f>
        <x:v>45835</x:v>
      </x:c>
      <x:c r="B181" s="122" t="str">
        <x:f>IF(A181="","",IF(OR(AND(MONTH(A181)=12,DAY(A181)&gt;=20),AND(MONTH(A181)=1,DAY(A181)&lt;=2)),"Weihnachten",IF(OR(AND(MONTH(A181)=11,DAY(A181)&gt;=24),AND(MONTH(A181)=12,DAY(A181)&lt;=7)),"Betriebsferien",IF(OR(AND(MONTH(A181)=1,DAY(A181)&gt;=3),MONTH(A181)=2,MONTH(A181)=3,MONTH(A181)=4,MONTH(A181)=10,MONTH(A181)=11,AND(MONTH(A181)=12,DAY(A181)&lt;=15)),"Nebensaison","Hauptsaison"))))</x:f>
        <x:v>Hauptsaison</x:v>
      </x:c>
      <x:c r="C181" s="122" t="str">
        <x:f>IF(A181="","",IF(WEEKDAY(A181,2)&gt;=6,"Wochenende","Unterwoche"))</x:f>
        <x:v>Unterwoche</x:v>
      </x:c>
      <x:c r="D181" s="123" t="n">
        <x:f>IF(A181="","",IF(N181&lt;&gt;"",N181,IF(B181="Nebensaison",IF(C181="Wochenende",'00_Eingabe'!$C$24,'00_Eingabe'!$B$24),IF(B181="Hauptsaison",IF(C181="Wochenende",'00_Eingabe'!$C$25,'00_Eingabe'!$B$25),IF(B181="Weihnachten",IF(C181="Wochenende",'00_Eingabe'!$C$26,'00_Eingabe'!$B$26),IF(C181="Wochenende",'00_Eingabe'!$C$27,'00_Eingabe'!$B$27))))))</x:f>
        <x:v>0.85</x:v>
      </x:c>
      <x:c r="E181" s="122" t="n">
        <x:f>IF(OR(A181="",D181=""),"",ROUND('00_Eingabe'!$B$8*D181,0))</x:f>
        <x:v>30</x:v>
      </x:c>
      <x:c r="F181" s="122" t="n">
        <x:f>IF(E181="","",ROUND(E181*'00_Eingabe'!$B$18,0))</x:f>
        <x:v>57</x:v>
      </x:c>
      <x:c r="G181" s="123" t="n">
        <x:f>IF(A181="","",IF(O181&lt;&gt;"",O181,IF(B181="Nebensaison",IF(C181="Wochenende",'00_Eingabe'!$E$24,'00_Eingabe'!$D$24),IF(B181="Hauptsaison",IF(C181="Wochenende",'00_Eingabe'!$E$25,'00_Eingabe'!$D$25),IF(B181="Weihnachten",IF(C181="Wochenende",'00_Eingabe'!$E$26,'00_Eingabe'!$D$26),IF(C181="Wochenende",'00_Eingabe'!$E$27,'00_Eingabe'!$D$27))))))</x:f>
        <x:v>0.85</x:v>
      </x:c>
      <x:c r="H181" s="122" t="n">
        <x:f>IF(OR(A181="",G181=""),"",ROUND('00_Eingabe'!$B$9*G181,0))</x:f>
        <x:v>3</x:v>
      </x:c>
      <x:c r="I181" s="122" t="n">
        <x:f>IF(H181="","",ROUND(H181*'00_Eingabe'!$B$19,0))</x:f>
        <x:v>7</x:v>
      </x:c>
      <x:c r="J181" s="122" t="n">
        <x:f>IF(OR(F181="",I181=""),"",F181+I181)</x:f>
        <x:v>64</x:v>
      </x:c>
      <x:c r="K181" s="122" t="n">
        <x:f>IF(J181="","",ROUND(J181*'00_Eingabe'!$B$16*(1+'00_Eingabe'!$B$14),0))</x:f>
        <x:v>74</x:v>
      </x:c>
      <x:c r="L181" s="122" t="n">
        <x:f>IF(B181="Betriebsferien",0,ROUND(J181*'00_Eingabe'!$B$40,0)+IF(C181="Wochenende",'00_Eingabe'!$B$42,'00_Eingabe'!$B$41))</x:f>
        <x:v>63</x:v>
      </x:c>
      <x:c r="M181" s="123" t="n">
        <x:f>IF(J181="","",ROUND(J181*'00_Eingabe'!$B$17*(1+'00_Eingabe'!$B$15),0))</x:f>
        <x:v>74</x:v>
      </x:c>
      <x:c r="N181" s="106"/>
      <x:c r="O181" s="106"/>
      <x:c r="P181" s="116"/>
      <x:c r="Q181" s="213" t="n">
        <x:f>IF(C181="Wochenende",1,0)</x:f>
        <x:v>0</x:v>
      </x:c>
      <x:c r="R181" s="213" t="n">
        <x:f>IF(AND(B181&lt;&gt;"Betriebsferien",OR(WEEKDAY(A181,2)=2,WEEKDAY(A181,2)=4)),1,0)</x:f>
        <x:v>0</x:v>
      </x:c>
      <x:c r="S181" s="214" t="n">
        <x:f>R181*MIN(1,'00_Eingabe'!$B$62/'00_Eingabe'!$B$61)</x:f>
        <x:v>0</x:v>
      </x:c>
      <x:c r="T181" s="213" t="n">
        <x:f>IF(B181="Betriebsferien",0,IF(B181="Nebensaison",IF(OR(WEEKDAY(A181,2)=1,WEEKDAY(A181,2)=3,WEEKDAY(A181,2)=5),1,0),IF(C181="Unterwoche",1,0)))</x:f>
        <x:v>1</x:v>
      </x:c>
      <x:c r="U181" s="213" t="n">
        <x:f>IF(B181="Betriebsferien",0,'00_Eingabe'!$G$24)</x:f>
        <x:v>8</x:v>
      </x:c>
    </x:row>
    <x:row r="182">
      <x:c r="A182" s="121" t="n">
        <x:f>IF(ROW()-4&lt;DATE('00_Eingabe'!$B$7+1,1,1)-DATE('00_Eingabe'!$B$7,1,1),DATE('00_Eingabe'!$B$7,1,1)+ROW()-4,"")</x:f>
        <x:v>45836</x:v>
      </x:c>
      <x:c r="B182" s="122" t="str">
        <x:f>IF(A182="","",IF(OR(AND(MONTH(A182)=12,DAY(A182)&gt;=20),AND(MONTH(A182)=1,DAY(A182)&lt;=2)),"Weihnachten",IF(OR(AND(MONTH(A182)=11,DAY(A182)&gt;=24),AND(MONTH(A182)=12,DAY(A182)&lt;=7)),"Betriebsferien",IF(OR(AND(MONTH(A182)=1,DAY(A182)&gt;=3),MONTH(A182)=2,MONTH(A182)=3,MONTH(A182)=4,MONTH(A182)=10,MONTH(A182)=11,AND(MONTH(A182)=12,DAY(A182)&lt;=15)),"Nebensaison","Hauptsaison"))))</x:f>
        <x:v>Hauptsaison</x:v>
      </x:c>
      <x:c r="C182" s="122" t="str">
        <x:f>IF(A182="","",IF(WEEKDAY(A182,2)&gt;=6,"Wochenende","Unterwoche"))</x:f>
        <x:v>Wochenende</x:v>
      </x:c>
      <x:c r="D182" s="123" t="n">
        <x:f>IF(A182="","",IF(N182&lt;&gt;"",N182,IF(B182="Nebensaison",IF(C182="Wochenende",'00_Eingabe'!$C$24,'00_Eingabe'!$B$24),IF(B182="Hauptsaison",IF(C182="Wochenende",'00_Eingabe'!$C$25,'00_Eingabe'!$B$25),IF(B182="Weihnachten",IF(C182="Wochenende",'00_Eingabe'!$C$26,'00_Eingabe'!$B$26),IF(C182="Wochenende",'00_Eingabe'!$C$27,'00_Eingabe'!$B$27))))))</x:f>
        <x:v>0.9</x:v>
      </x:c>
      <x:c r="E182" s="122" t="n">
        <x:f>IF(OR(A182="",D182=""),"",ROUND('00_Eingabe'!$B$8*D182,0))</x:f>
        <x:v>32</x:v>
      </x:c>
      <x:c r="F182" s="122" t="n">
        <x:f>IF(E182="","",ROUND(E182*'00_Eingabe'!$B$18,0))</x:f>
        <x:v>61</x:v>
      </x:c>
      <x:c r="G182" s="123" t="n">
        <x:f>IF(A182="","",IF(O182&lt;&gt;"",O182,IF(B182="Nebensaison",IF(C182="Wochenende",'00_Eingabe'!$E$24,'00_Eingabe'!$D$24),IF(B182="Hauptsaison",IF(C182="Wochenende",'00_Eingabe'!$E$25,'00_Eingabe'!$D$25),IF(B182="Weihnachten",IF(C182="Wochenende",'00_Eingabe'!$E$26,'00_Eingabe'!$D$26),IF(C182="Wochenende",'00_Eingabe'!$E$27,'00_Eingabe'!$D$27))))))</x:f>
        <x:v>0.9</x:v>
      </x:c>
      <x:c r="H182" s="122" t="n">
        <x:f>IF(OR(A182="",G182=""),"",ROUND('00_Eingabe'!$B$9*G182,0))</x:f>
        <x:v>4</x:v>
      </x:c>
      <x:c r="I182" s="122" t="n">
        <x:f>IF(H182="","",ROUND(H182*'00_Eingabe'!$B$19,0))</x:f>
        <x:v>9</x:v>
      </x:c>
      <x:c r="J182" s="122" t="n">
        <x:f>IF(OR(F182="",I182=""),"",F182+I182)</x:f>
        <x:v>70</x:v>
      </x:c>
      <x:c r="K182" s="122" t="n">
        <x:f>IF(J182="","",ROUND(J182*'00_Eingabe'!$B$16*(1+'00_Eingabe'!$B$14),0))</x:f>
        <x:v>81</x:v>
      </x:c>
      <x:c r="L182" s="122" t="n">
        <x:f>IF(B182="Betriebsferien",0,ROUND(J182*'00_Eingabe'!$B$40,0)+IF(C182="Wochenende",'00_Eingabe'!$B$42,'00_Eingabe'!$B$41))</x:f>
        <x:v>93</x:v>
      </x:c>
      <x:c r="M182" s="123" t="n">
        <x:f>IF(J182="","",ROUND(J182*'00_Eingabe'!$B$17*(1+'00_Eingabe'!$B$15),0))</x:f>
        <x:v>81</x:v>
      </x:c>
      <x:c r="N182" s="106"/>
      <x:c r="O182" s="106"/>
      <x:c r="P182" s="116"/>
      <x:c r="Q182" s="213" t="n">
        <x:f>IF(C182="Wochenende",1,0)</x:f>
        <x:v>1</x:v>
      </x:c>
      <x:c r="R182" s="213" t="n">
        <x:f>IF(AND(B182&lt;&gt;"Betriebsferien",OR(WEEKDAY(A182,2)=2,WEEKDAY(A182,2)=4)),1,0)</x:f>
        <x:v>0</x:v>
      </x:c>
      <x:c r="S182" s="214" t="n">
        <x:f>R182*MIN(1,'00_Eingabe'!$B$62/'00_Eingabe'!$B$61)</x:f>
        <x:v>0</x:v>
      </x:c>
      <x:c r="T182" s="213" t="n">
        <x:f>IF(B182="Betriebsferien",0,IF(B182="Nebensaison",IF(OR(WEEKDAY(A182,2)=1,WEEKDAY(A182,2)=3,WEEKDAY(A182,2)=5),1,0),IF(C182="Unterwoche",1,0)))</x:f>
        <x:v>0</x:v>
      </x:c>
      <x:c r="U182" s="213" t="n">
        <x:f>IF(B182="Betriebsferien",0,'00_Eingabe'!$G$24)</x:f>
        <x:v>8</x:v>
      </x:c>
    </x:row>
    <x:row r="183">
      <x:c r="A183" s="121" t="n">
        <x:f>IF(ROW()-4&lt;DATE('00_Eingabe'!$B$7+1,1,1)-DATE('00_Eingabe'!$B$7,1,1),DATE('00_Eingabe'!$B$7,1,1)+ROW()-4,"")</x:f>
        <x:v>45837</x:v>
      </x:c>
      <x:c r="B183" s="122" t="str">
        <x:f>IF(A183="","",IF(OR(AND(MONTH(A183)=12,DAY(A183)&gt;=20),AND(MONTH(A183)=1,DAY(A183)&lt;=2)),"Weihnachten",IF(OR(AND(MONTH(A183)=11,DAY(A183)&gt;=24),AND(MONTH(A183)=12,DAY(A183)&lt;=7)),"Betriebsferien",IF(OR(AND(MONTH(A183)=1,DAY(A183)&gt;=3),MONTH(A183)=2,MONTH(A183)=3,MONTH(A183)=4,MONTH(A183)=10,MONTH(A183)=11,AND(MONTH(A183)=12,DAY(A183)&lt;=15)),"Nebensaison","Hauptsaison"))))</x:f>
        <x:v>Hauptsaison</x:v>
      </x:c>
      <x:c r="C183" s="122" t="str">
        <x:f>IF(A183="","",IF(WEEKDAY(A183,2)&gt;=6,"Wochenende","Unterwoche"))</x:f>
        <x:v>Wochenende</x:v>
      </x:c>
      <x:c r="D183" s="123" t="n">
        <x:f>IF(A183="","",IF(N183&lt;&gt;"",N183,IF(B183="Nebensaison",IF(C183="Wochenende",'00_Eingabe'!$C$24,'00_Eingabe'!$B$24),IF(B183="Hauptsaison",IF(C183="Wochenende",'00_Eingabe'!$C$25,'00_Eingabe'!$B$25),IF(B183="Weihnachten",IF(C183="Wochenende",'00_Eingabe'!$C$26,'00_Eingabe'!$B$26),IF(C183="Wochenende",'00_Eingabe'!$C$27,'00_Eingabe'!$B$27))))))</x:f>
        <x:v>0.9</x:v>
      </x:c>
      <x:c r="E183" s="122" t="n">
        <x:f>IF(OR(A183="",D183=""),"",ROUND('00_Eingabe'!$B$8*D183,0))</x:f>
        <x:v>32</x:v>
      </x:c>
      <x:c r="F183" s="122" t="n">
        <x:f>IF(E183="","",ROUND(E183*'00_Eingabe'!$B$18,0))</x:f>
        <x:v>61</x:v>
      </x:c>
      <x:c r="G183" s="123" t="n">
        <x:f>IF(A183="","",IF(O183&lt;&gt;"",O183,IF(B183="Nebensaison",IF(C183="Wochenende",'00_Eingabe'!$E$24,'00_Eingabe'!$D$24),IF(B183="Hauptsaison",IF(C183="Wochenende",'00_Eingabe'!$E$25,'00_Eingabe'!$D$25),IF(B183="Weihnachten",IF(C183="Wochenende",'00_Eingabe'!$E$26,'00_Eingabe'!$D$26),IF(C183="Wochenende",'00_Eingabe'!$E$27,'00_Eingabe'!$D$27))))))</x:f>
        <x:v>0.9</x:v>
      </x:c>
      <x:c r="H183" s="122" t="n">
        <x:f>IF(OR(A183="",G183=""),"",ROUND('00_Eingabe'!$B$9*G183,0))</x:f>
        <x:v>4</x:v>
      </x:c>
      <x:c r="I183" s="122" t="n">
        <x:f>IF(H183="","",ROUND(H183*'00_Eingabe'!$B$19,0))</x:f>
        <x:v>9</x:v>
      </x:c>
      <x:c r="J183" s="122" t="n">
        <x:f>IF(OR(F183="",I183=""),"",F183+I183)</x:f>
        <x:v>70</x:v>
      </x:c>
      <x:c r="K183" s="122" t="n">
        <x:f>IF(J183="","",ROUND(J183*'00_Eingabe'!$B$16*(1+'00_Eingabe'!$B$14),0))</x:f>
        <x:v>81</x:v>
      </x:c>
      <x:c r="L183" s="122" t="n">
        <x:f>IF(B183="Betriebsferien",0,ROUND(J183*'00_Eingabe'!$B$40,0)+IF(C183="Wochenende",'00_Eingabe'!$B$42,'00_Eingabe'!$B$41))</x:f>
        <x:v>93</x:v>
      </x:c>
      <x:c r="M183" s="123" t="n">
        <x:f>IF(J183="","",ROUND(J183*'00_Eingabe'!$B$17*(1+'00_Eingabe'!$B$15),0))</x:f>
        <x:v>81</x:v>
      </x:c>
      <x:c r="N183" s="106"/>
      <x:c r="O183" s="106"/>
      <x:c r="P183" s="116"/>
      <x:c r="Q183" s="213" t="n">
        <x:f>IF(C183="Wochenende",1,0)</x:f>
        <x:v>1</x:v>
      </x:c>
      <x:c r="R183" s="213" t="n">
        <x:f>IF(AND(B183&lt;&gt;"Betriebsferien",OR(WEEKDAY(A183,2)=2,WEEKDAY(A183,2)=4)),1,0)</x:f>
        <x:v>0</x:v>
      </x:c>
      <x:c r="S183" s="214" t="n">
        <x:f>R183*MIN(1,'00_Eingabe'!$B$62/'00_Eingabe'!$B$61)</x:f>
        <x:v>0</x:v>
      </x:c>
      <x:c r="T183" s="213" t="n">
        <x:f>IF(B183="Betriebsferien",0,IF(B183="Nebensaison",IF(OR(WEEKDAY(A183,2)=1,WEEKDAY(A183,2)=3,WEEKDAY(A183,2)=5),1,0),IF(C183="Unterwoche",1,0)))</x:f>
        <x:v>0</x:v>
      </x:c>
      <x:c r="U183" s="213" t="n">
        <x:f>IF(B183="Betriebsferien",0,'00_Eingabe'!$G$24)</x:f>
        <x:v>8</x:v>
      </x:c>
    </x:row>
    <x:row r="184">
      <x:c r="A184" s="121" t="n">
        <x:f>IF(ROW()-4&lt;DATE('00_Eingabe'!$B$7+1,1,1)-DATE('00_Eingabe'!$B$7,1,1),DATE('00_Eingabe'!$B$7,1,1)+ROW()-4,"")</x:f>
        <x:v>45838</x:v>
      </x:c>
      <x:c r="B184" s="122" t="str">
        <x:f>IF(A184="","",IF(OR(AND(MONTH(A184)=12,DAY(A184)&gt;=20),AND(MONTH(A184)=1,DAY(A184)&lt;=2)),"Weihnachten",IF(OR(AND(MONTH(A184)=11,DAY(A184)&gt;=24),AND(MONTH(A184)=12,DAY(A184)&lt;=7)),"Betriebsferien",IF(OR(AND(MONTH(A184)=1,DAY(A184)&gt;=3),MONTH(A184)=2,MONTH(A184)=3,MONTH(A184)=4,MONTH(A184)=10,MONTH(A184)=11,AND(MONTH(A184)=12,DAY(A184)&lt;=15)),"Nebensaison","Hauptsaison"))))</x:f>
        <x:v>Hauptsaison</x:v>
      </x:c>
      <x:c r="C184" s="122" t="str">
        <x:f>IF(A184="","",IF(WEEKDAY(A184,2)&gt;=6,"Wochenende","Unterwoche"))</x:f>
        <x:v>Unterwoche</x:v>
      </x:c>
      <x:c r="D184" s="123" t="n">
        <x:f>IF(A184="","",IF(N184&lt;&gt;"",N184,IF(B184="Nebensaison",IF(C184="Wochenende",'00_Eingabe'!$C$24,'00_Eingabe'!$B$24),IF(B184="Hauptsaison",IF(C184="Wochenende",'00_Eingabe'!$C$25,'00_Eingabe'!$B$25),IF(B184="Weihnachten",IF(C184="Wochenende",'00_Eingabe'!$C$26,'00_Eingabe'!$B$26),IF(C184="Wochenende",'00_Eingabe'!$C$27,'00_Eingabe'!$B$27))))))</x:f>
        <x:v>0.85</x:v>
      </x:c>
      <x:c r="E184" s="122" t="n">
        <x:f>IF(OR(A184="",D184=""),"",ROUND('00_Eingabe'!$B$8*D184,0))</x:f>
        <x:v>30</x:v>
      </x:c>
      <x:c r="F184" s="122" t="n">
        <x:f>IF(E184="","",ROUND(E184*'00_Eingabe'!$B$18,0))</x:f>
        <x:v>57</x:v>
      </x:c>
      <x:c r="G184" s="123" t="n">
        <x:f>IF(A184="","",IF(O184&lt;&gt;"",O184,IF(B184="Nebensaison",IF(C184="Wochenende",'00_Eingabe'!$E$24,'00_Eingabe'!$D$24),IF(B184="Hauptsaison",IF(C184="Wochenende",'00_Eingabe'!$E$25,'00_Eingabe'!$D$25),IF(B184="Weihnachten",IF(C184="Wochenende",'00_Eingabe'!$E$26,'00_Eingabe'!$D$26),IF(C184="Wochenende",'00_Eingabe'!$E$27,'00_Eingabe'!$D$27))))))</x:f>
        <x:v>0.85</x:v>
      </x:c>
      <x:c r="H184" s="122" t="n">
        <x:f>IF(OR(A184="",G184=""),"",ROUND('00_Eingabe'!$B$9*G184,0))</x:f>
        <x:v>3</x:v>
      </x:c>
      <x:c r="I184" s="122" t="n">
        <x:f>IF(H184="","",ROUND(H184*'00_Eingabe'!$B$19,0))</x:f>
        <x:v>7</x:v>
      </x:c>
      <x:c r="J184" s="122" t="n">
        <x:f>IF(OR(F184="",I184=""),"",F184+I184)</x:f>
        <x:v>64</x:v>
      </x:c>
      <x:c r="K184" s="122" t="n">
        <x:f>IF(J184="","",ROUND(J184*'00_Eingabe'!$B$16*(1+'00_Eingabe'!$B$14),0))</x:f>
        <x:v>74</x:v>
      </x:c>
      <x:c r="L184" s="122" t="n">
        <x:f>IF(B184="Betriebsferien",0,ROUND(J184*'00_Eingabe'!$B$40,0)+IF(C184="Wochenende",'00_Eingabe'!$B$42,'00_Eingabe'!$B$41))</x:f>
        <x:v>63</x:v>
      </x:c>
      <x:c r="M184" s="123" t="n">
        <x:f>IF(J184="","",ROUND(J184*'00_Eingabe'!$B$17*(1+'00_Eingabe'!$B$15),0))</x:f>
        <x:v>74</x:v>
      </x:c>
      <x:c r="N184" s="106"/>
      <x:c r="O184" s="106"/>
      <x:c r="P184" s="116"/>
      <x:c r="Q184" s="213" t="n">
        <x:f>IF(C184="Wochenende",1,0)</x:f>
        <x:v>0</x:v>
      </x:c>
      <x:c r="R184" s="213" t="n">
        <x:f>IF(AND(B184&lt;&gt;"Betriebsferien",OR(WEEKDAY(A184,2)=2,WEEKDAY(A184,2)=4)),1,0)</x:f>
        <x:v>0</x:v>
      </x:c>
      <x:c r="S184" s="214" t="n">
        <x:f>R184*MIN(1,'00_Eingabe'!$B$62/'00_Eingabe'!$B$61)</x:f>
        <x:v>0</x:v>
      </x:c>
      <x:c r="T184" s="213" t="n">
        <x:f>IF(B184="Betriebsferien",0,IF(B184="Nebensaison",IF(OR(WEEKDAY(A184,2)=1,WEEKDAY(A184,2)=3,WEEKDAY(A184,2)=5),1,0),IF(C184="Unterwoche",1,0)))</x:f>
        <x:v>1</x:v>
      </x:c>
      <x:c r="U184" s="213" t="n">
        <x:f>IF(B184="Betriebsferien",0,'00_Eingabe'!$G$24)</x:f>
        <x:v>8</x:v>
      </x:c>
    </x:row>
    <x:row r="185">
      <x:c r="A185" s="121" t="n">
        <x:f>IF(ROW()-4&lt;DATE('00_Eingabe'!$B$7+1,1,1)-DATE('00_Eingabe'!$B$7,1,1),DATE('00_Eingabe'!$B$7,1,1)+ROW()-4,"")</x:f>
        <x:v>45839</x:v>
      </x:c>
      <x:c r="B185" s="122" t="str">
        <x:f>IF(A185="","",IF(OR(AND(MONTH(A185)=12,DAY(A185)&gt;=20),AND(MONTH(A185)=1,DAY(A185)&lt;=2)),"Weihnachten",IF(OR(AND(MONTH(A185)=11,DAY(A185)&gt;=24),AND(MONTH(A185)=12,DAY(A185)&lt;=7)),"Betriebsferien",IF(OR(AND(MONTH(A185)=1,DAY(A185)&gt;=3),MONTH(A185)=2,MONTH(A185)=3,MONTH(A185)=4,MONTH(A185)=10,MONTH(A185)=11,AND(MONTH(A185)=12,DAY(A185)&lt;=15)),"Nebensaison","Hauptsaison"))))</x:f>
        <x:v>Hauptsaison</x:v>
      </x:c>
      <x:c r="C185" s="122" t="str">
        <x:f>IF(A185="","",IF(WEEKDAY(A185,2)&gt;=6,"Wochenende","Unterwoche"))</x:f>
        <x:v>Unterwoche</x:v>
      </x:c>
      <x:c r="D185" s="123" t="n">
        <x:f>IF(A185="","",IF(N185&lt;&gt;"",N185,IF(B185="Nebensaison",IF(C185="Wochenende",'00_Eingabe'!$C$24,'00_Eingabe'!$B$24),IF(B185="Hauptsaison",IF(C185="Wochenende",'00_Eingabe'!$C$25,'00_Eingabe'!$B$25),IF(B185="Weihnachten",IF(C185="Wochenende",'00_Eingabe'!$C$26,'00_Eingabe'!$B$26),IF(C185="Wochenende",'00_Eingabe'!$C$27,'00_Eingabe'!$B$27))))))</x:f>
        <x:v>0.85</x:v>
      </x:c>
      <x:c r="E185" s="122" t="n">
        <x:f>IF(OR(A185="",D185=""),"",ROUND('00_Eingabe'!$B$8*D185,0))</x:f>
        <x:v>30</x:v>
      </x:c>
      <x:c r="F185" s="122" t="n">
        <x:f>IF(E185="","",ROUND(E185*'00_Eingabe'!$B$18,0))</x:f>
        <x:v>57</x:v>
      </x:c>
      <x:c r="G185" s="123" t="n">
        <x:f>IF(A185="","",IF(O185&lt;&gt;"",O185,IF(B185="Nebensaison",IF(C185="Wochenende",'00_Eingabe'!$E$24,'00_Eingabe'!$D$24),IF(B185="Hauptsaison",IF(C185="Wochenende",'00_Eingabe'!$E$25,'00_Eingabe'!$D$25),IF(B185="Weihnachten",IF(C185="Wochenende",'00_Eingabe'!$E$26,'00_Eingabe'!$D$26),IF(C185="Wochenende",'00_Eingabe'!$E$27,'00_Eingabe'!$D$27))))))</x:f>
        <x:v>0.85</x:v>
      </x:c>
      <x:c r="H185" s="122" t="n">
        <x:f>IF(OR(A185="",G185=""),"",ROUND('00_Eingabe'!$B$9*G185,0))</x:f>
        <x:v>3</x:v>
      </x:c>
      <x:c r="I185" s="122" t="n">
        <x:f>IF(H185="","",ROUND(H185*'00_Eingabe'!$B$19,0))</x:f>
        <x:v>7</x:v>
      </x:c>
      <x:c r="J185" s="122" t="n">
        <x:f>IF(OR(F185="",I185=""),"",F185+I185)</x:f>
        <x:v>64</x:v>
      </x:c>
      <x:c r="K185" s="122" t="n">
        <x:f>IF(J185="","",ROUND(J185*'00_Eingabe'!$B$16*(1+'00_Eingabe'!$B$14),0))</x:f>
        <x:v>74</x:v>
      </x:c>
      <x:c r="L185" s="122" t="n">
        <x:f>IF(B185="Betriebsferien",0,ROUND(J185*'00_Eingabe'!$B$40,0)+IF(C185="Wochenende",'00_Eingabe'!$B$42,'00_Eingabe'!$B$41))</x:f>
        <x:v>63</x:v>
      </x:c>
      <x:c r="M185" s="123" t="n">
        <x:f>IF(J185="","",ROUND(J185*'00_Eingabe'!$B$17*(1+'00_Eingabe'!$B$15),0))</x:f>
        <x:v>74</x:v>
      </x:c>
      <x:c r="N185" s="106"/>
      <x:c r="O185" s="106"/>
      <x:c r="P185" s="116"/>
      <x:c r="Q185" s="213" t="n">
        <x:f>IF(C185="Wochenende",1,0)</x:f>
        <x:v>0</x:v>
      </x:c>
      <x:c r="R185" s="213" t="n">
        <x:f>IF(AND(B185&lt;&gt;"Betriebsferien",OR(WEEKDAY(A185,2)=2,WEEKDAY(A185,2)=4)),1,0)</x:f>
        <x:v>1</x:v>
      </x:c>
      <x:c r="S185" s="214" t="n">
        <x:f>R185*MIN(1,'00_Eingabe'!$B$62/'00_Eingabe'!$B$61)</x:f>
        <x:v>0.5</x:v>
      </x:c>
      <x:c r="T185" s="213" t="n">
        <x:f>IF(B185="Betriebsferien",0,IF(B185="Nebensaison",IF(OR(WEEKDAY(A185,2)=1,WEEKDAY(A185,2)=3,WEEKDAY(A185,2)=5),1,0),IF(C185="Unterwoche",1,0)))</x:f>
        <x:v>1</x:v>
      </x:c>
      <x:c r="U185" s="213" t="n">
        <x:f>IF(B185="Betriebsferien",0,'00_Eingabe'!$G$24)</x:f>
        <x:v>8</x:v>
      </x:c>
    </x:row>
    <x:row r="186">
      <x:c r="A186" s="121" t="n">
        <x:f>IF(ROW()-4&lt;DATE('00_Eingabe'!$B$7+1,1,1)-DATE('00_Eingabe'!$B$7,1,1),DATE('00_Eingabe'!$B$7,1,1)+ROW()-4,"")</x:f>
        <x:v>45840</x:v>
      </x:c>
      <x:c r="B186" s="122" t="str">
        <x:f>IF(A186="","",IF(OR(AND(MONTH(A186)=12,DAY(A186)&gt;=20),AND(MONTH(A186)=1,DAY(A186)&lt;=2)),"Weihnachten",IF(OR(AND(MONTH(A186)=11,DAY(A186)&gt;=24),AND(MONTH(A186)=12,DAY(A186)&lt;=7)),"Betriebsferien",IF(OR(AND(MONTH(A186)=1,DAY(A186)&gt;=3),MONTH(A186)=2,MONTH(A186)=3,MONTH(A186)=4,MONTH(A186)=10,MONTH(A186)=11,AND(MONTH(A186)=12,DAY(A186)&lt;=15)),"Nebensaison","Hauptsaison"))))</x:f>
        <x:v>Hauptsaison</x:v>
      </x:c>
      <x:c r="C186" s="122" t="str">
        <x:f>IF(A186="","",IF(WEEKDAY(A186,2)&gt;=6,"Wochenende","Unterwoche"))</x:f>
        <x:v>Unterwoche</x:v>
      </x:c>
      <x:c r="D186" s="123" t="n">
        <x:f>IF(A186="","",IF(N186&lt;&gt;"",N186,IF(B186="Nebensaison",IF(C186="Wochenende",'00_Eingabe'!$C$24,'00_Eingabe'!$B$24),IF(B186="Hauptsaison",IF(C186="Wochenende",'00_Eingabe'!$C$25,'00_Eingabe'!$B$25),IF(B186="Weihnachten",IF(C186="Wochenende",'00_Eingabe'!$C$26,'00_Eingabe'!$B$26),IF(C186="Wochenende",'00_Eingabe'!$C$27,'00_Eingabe'!$B$27))))))</x:f>
        <x:v>0.85</x:v>
      </x:c>
      <x:c r="E186" s="122" t="n">
        <x:f>IF(OR(A186="",D186=""),"",ROUND('00_Eingabe'!$B$8*D186,0))</x:f>
        <x:v>30</x:v>
      </x:c>
      <x:c r="F186" s="122" t="n">
        <x:f>IF(E186="","",ROUND(E186*'00_Eingabe'!$B$18,0))</x:f>
        <x:v>57</x:v>
      </x:c>
      <x:c r="G186" s="123" t="n">
        <x:f>IF(A186="","",IF(O186&lt;&gt;"",O186,IF(B186="Nebensaison",IF(C186="Wochenende",'00_Eingabe'!$E$24,'00_Eingabe'!$D$24),IF(B186="Hauptsaison",IF(C186="Wochenende",'00_Eingabe'!$E$25,'00_Eingabe'!$D$25),IF(B186="Weihnachten",IF(C186="Wochenende",'00_Eingabe'!$E$26,'00_Eingabe'!$D$26),IF(C186="Wochenende",'00_Eingabe'!$E$27,'00_Eingabe'!$D$27))))))</x:f>
        <x:v>0.85</x:v>
      </x:c>
      <x:c r="H186" s="122" t="n">
        <x:f>IF(OR(A186="",G186=""),"",ROUND('00_Eingabe'!$B$9*G186,0))</x:f>
        <x:v>3</x:v>
      </x:c>
      <x:c r="I186" s="122" t="n">
        <x:f>IF(H186="","",ROUND(H186*'00_Eingabe'!$B$19,0))</x:f>
        <x:v>7</x:v>
      </x:c>
      <x:c r="J186" s="122" t="n">
        <x:f>IF(OR(F186="",I186=""),"",F186+I186)</x:f>
        <x:v>64</x:v>
      </x:c>
      <x:c r="K186" s="122" t="n">
        <x:f>IF(J186="","",ROUND(J186*'00_Eingabe'!$B$16*(1+'00_Eingabe'!$B$14),0))</x:f>
        <x:v>74</x:v>
      </x:c>
      <x:c r="L186" s="122" t="n">
        <x:f>IF(B186="Betriebsferien",0,ROUND(J186*'00_Eingabe'!$B$40,0)+IF(C186="Wochenende",'00_Eingabe'!$B$42,'00_Eingabe'!$B$41))</x:f>
        <x:v>63</x:v>
      </x:c>
      <x:c r="M186" s="123" t="n">
        <x:f>IF(J186="","",ROUND(J186*'00_Eingabe'!$B$17*(1+'00_Eingabe'!$B$15),0))</x:f>
        <x:v>74</x:v>
      </x:c>
      <x:c r="N186" s="106"/>
      <x:c r="O186" s="106"/>
      <x:c r="P186" s="116"/>
      <x:c r="Q186" s="213" t="n">
        <x:f>IF(C186="Wochenende",1,0)</x:f>
        <x:v>0</x:v>
      </x:c>
      <x:c r="R186" s="213" t="n">
        <x:f>IF(AND(B186&lt;&gt;"Betriebsferien",OR(WEEKDAY(A186,2)=2,WEEKDAY(A186,2)=4)),1,0)</x:f>
        <x:v>0</x:v>
      </x:c>
      <x:c r="S186" s="214" t="n">
        <x:f>R186*MIN(1,'00_Eingabe'!$B$62/'00_Eingabe'!$B$61)</x:f>
        <x:v>0</x:v>
      </x:c>
      <x:c r="T186" s="213" t="n">
        <x:f>IF(B186="Betriebsferien",0,IF(B186="Nebensaison",IF(OR(WEEKDAY(A186,2)=1,WEEKDAY(A186,2)=3,WEEKDAY(A186,2)=5),1,0),IF(C186="Unterwoche",1,0)))</x:f>
        <x:v>1</x:v>
      </x:c>
      <x:c r="U186" s="213" t="n">
        <x:f>IF(B186="Betriebsferien",0,'00_Eingabe'!$G$24)</x:f>
        <x:v>8</x:v>
      </x:c>
    </x:row>
    <x:row r="187">
      <x:c r="A187" s="121" t="n">
        <x:f>IF(ROW()-4&lt;DATE('00_Eingabe'!$B$7+1,1,1)-DATE('00_Eingabe'!$B$7,1,1),DATE('00_Eingabe'!$B$7,1,1)+ROW()-4,"")</x:f>
        <x:v>45841</x:v>
      </x:c>
      <x:c r="B187" s="122" t="str">
        <x:f>IF(A187="","",IF(OR(AND(MONTH(A187)=12,DAY(A187)&gt;=20),AND(MONTH(A187)=1,DAY(A187)&lt;=2)),"Weihnachten",IF(OR(AND(MONTH(A187)=11,DAY(A187)&gt;=24),AND(MONTH(A187)=12,DAY(A187)&lt;=7)),"Betriebsferien",IF(OR(AND(MONTH(A187)=1,DAY(A187)&gt;=3),MONTH(A187)=2,MONTH(A187)=3,MONTH(A187)=4,MONTH(A187)=10,MONTH(A187)=11,AND(MONTH(A187)=12,DAY(A187)&lt;=15)),"Nebensaison","Hauptsaison"))))</x:f>
        <x:v>Hauptsaison</x:v>
      </x:c>
      <x:c r="C187" s="122" t="str">
        <x:f>IF(A187="","",IF(WEEKDAY(A187,2)&gt;=6,"Wochenende","Unterwoche"))</x:f>
        <x:v>Unterwoche</x:v>
      </x:c>
      <x:c r="D187" s="123" t="n">
        <x:f>IF(A187="","",IF(N187&lt;&gt;"",N187,IF(B187="Nebensaison",IF(C187="Wochenende",'00_Eingabe'!$C$24,'00_Eingabe'!$B$24),IF(B187="Hauptsaison",IF(C187="Wochenende",'00_Eingabe'!$C$25,'00_Eingabe'!$B$25),IF(B187="Weihnachten",IF(C187="Wochenende",'00_Eingabe'!$C$26,'00_Eingabe'!$B$26),IF(C187="Wochenende",'00_Eingabe'!$C$27,'00_Eingabe'!$B$27))))))</x:f>
        <x:v>0.85</x:v>
      </x:c>
      <x:c r="E187" s="122" t="n">
        <x:f>IF(OR(A187="",D187=""),"",ROUND('00_Eingabe'!$B$8*D187,0))</x:f>
        <x:v>30</x:v>
      </x:c>
      <x:c r="F187" s="122" t="n">
        <x:f>IF(E187="","",ROUND(E187*'00_Eingabe'!$B$18,0))</x:f>
        <x:v>57</x:v>
      </x:c>
      <x:c r="G187" s="123" t="n">
        <x:f>IF(A187="","",IF(O187&lt;&gt;"",O187,IF(B187="Nebensaison",IF(C187="Wochenende",'00_Eingabe'!$E$24,'00_Eingabe'!$D$24),IF(B187="Hauptsaison",IF(C187="Wochenende",'00_Eingabe'!$E$25,'00_Eingabe'!$D$25),IF(B187="Weihnachten",IF(C187="Wochenende",'00_Eingabe'!$E$26,'00_Eingabe'!$D$26),IF(C187="Wochenende",'00_Eingabe'!$E$27,'00_Eingabe'!$D$27))))))</x:f>
        <x:v>0.85</x:v>
      </x:c>
      <x:c r="H187" s="122" t="n">
        <x:f>IF(OR(A187="",G187=""),"",ROUND('00_Eingabe'!$B$9*G187,0))</x:f>
        <x:v>3</x:v>
      </x:c>
      <x:c r="I187" s="122" t="n">
        <x:f>IF(H187="","",ROUND(H187*'00_Eingabe'!$B$19,0))</x:f>
        <x:v>7</x:v>
      </x:c>
      <x:c r="J187" s="122" t="n">
        <x:f>IF(OR(F187="",I187=""),"",F187+I187)</x:f>
        <x:v>64</x:v>
      </x:c>
      <x:c r="K187" s="122" t="n">
        <x:f>IF(J187="","",ROUND(J187*'00_Eingabe'!$B$16*(1+'00_Eingabe'!$B$14),0))</x:f>
        <x:v>74</x:v>
      </x:c>
      <x:c r="L187" s="122" t="n">
        <x:f>IF(B187="Betriebsferien",0,ROUND(J187*'00_Eingabe'!$B$40,0)+IF(C187="Wochenende",'00_Eingabe'!$B$42,'00_Eingabe'!$B$41))</x:f>
        <x:v>63</x:v>
      </x:c>
      <x:c r="M187" s="123" t="n">
        <x:f>IF(J187="","",ROUND(J187*'00_Eingabe'!$B$17*(1+'00_Eingabe'!$B$15),0))</x:f>
        <x:v>74</x:v>
      </x:c>
      <x:c r="N187" s="106"/>
      <x:c r="O187" s="106"/>
      <x:c r="P187" s="116"/>
      <x:c r="Q187" s="213" t="n">
        <x:f>IF(C187="Wochenende",1,0)</x:f>
        <x:v>0</x:v>
      </x:c>
      <x:c r="R187" s="213" t="n">
        <x:f>IF(AND(B187&lt;&gt;"Betriebsferien",OR(WEEKDAY(A187,2)=2,WEEKDAY(A187,2)=4)),1,0)</x:f>
        <x:v>1</x:v>
      </x:c>
      <x:c r="S187" s="214" t="n">
        <x:f>R187*MIN(1,'00_Eingabe'!$B$62/'00_Eingabe'!$B$61)</x:f>
        <x:v>0.5</x:v>
      </x:c>
      <x:c r="T187" s="213" t="n">
        <x:f>IF(B187="Betriebsferien",0,IF(B187="Nebensaison",IF(OR(WEEKDAY(A187,2)=1,WEEKDAY(A187,2)=3,WEEKDAY(A187,2)=5),1,0),IF(C187="Unterwoche",1,0)))</x:f>
        <x:v>1</x:v>
      </x:c>
      <x:c r="U187" s="213" t="n">
        <x:f>IF(B187="Betriebsferien",0,'00_Eingabe'!$G$24)</x:f>
        <x:v>8</x:v>
      </x:c>
    </x:row>
    <x:row r="188">
      <x:c r="A188" s="121" t="n">
        <x:f>IF(ROW()-4&lt;DATE('00_Eingabe'!$B$7+1,1,1)-DATE('00_Eingabe'!$B$7,1,1),DATE('00_Eingabe'!$B$7,1,1)+ROW()-4,"")</x:f>
        <x:v>45842</x:v>
      </x:c>
      <x:c r="B188" s="122" t="str">
        <x:f>IF(A188="","",IF(OR(AND(MONTH(A188)=12,DAY(A188)&gt;=20),AND(MONTH(A188)=1,DAY(A188)&lt;=2)),"Weihnachten",IF(OR(AND(MONTH(A188)=11,DAY(A188)&gt;=24),AND(MONTH(A188)=12,DAY(A188)&lt;=7)),"Betriebsferien",IF(OR(AND(MONTH(A188)=1,DAY(A188)&gt;=3),MONTH(A188)=2,MONTH(A188)=3,MONTH(A188)=4,MONTH(A188)=10,MONTH(A188)=11,AND(MONTH(A188)=12,DAY(A188)&lt;=15)),"Nebensaison","Hauptsaison"))))</x:f>
        <x:v>Hauptsaison</x:v>
      </x:c>
      <x:c r="C188" s="122" t="str">
        <x:f>IF(A188="","",IF(WEEKDAY(A188,2)&gt;=6,"Wochenende","Unterwoche"))</x:f>
        <x:v>Unterwoche</x:v>
      </x:c>
      <x:c r="D188" s="123" t="n">
        <x:f>IF(A188="","",IF(N188&lt;&gt;"",N188,IF(B188="Nebensaison",IF(C188="Wochenende",'00_Eingabe'!$C$24,'00_Eingabe'!$B$24),IF(B188="Hauptsaison",IF(C188="Wochenende",'00_Eingabe'!$C$25,'00_Eingabe'!$B$25),IF(B188="Weihnachten",IF(C188="Wochenende",'00_Eingabe'!$C$26,'00_Eingabe'!$B$26),IF(C188="Wochenende",'00_Eingabe'!$C$27,'00_Eingabe'!$B$27))))))</x:f>
        <x:v>0.85</x:v>
      </x:c>
      <x:c r="E188" s="122" t="n">
        <x:f>IF(OR(A188="",D188=""),"",ROUND('00_Eingabe'!$B$8*D188,0))</x:f>
        <x:v>30</x:v>
      </x:c>
      <x:c r="F188" s="122" t="n">
        <x:f>IF(E188="","",ROUND(E188*'00_Eingabe'!$B$18,0))</x:f>
        <x:v>57</x:v>
      </x:c>
      <x:c r="G188" s="123" t="n">
        <x:f>IF(A188="","",IF(O188&lt;&gt;"",O188,IF(B188="Nebensaison",IF(C188="Wochenende",'00_Eingabe'!$E$24,'00_Eingabe'!$D$24),IF(B188="Hauptsaison",IF(C188="Wochenende",'00_Eingabe'!$E$25,'00_Eingabe'!$D$25),IF(B188="Weihnachten",IF(C188="Wochenende",'00_Eingabe'!$E$26,'00_Eingabe'!$D$26),IF(C188="Wochenende",'00_Eingabe'!$E$27,'00_Eingabe'!$D$27))))))</x:f>
        <x:v>0.85</x:v>
      </x:c>
      <x:c r="H188" s="122" t="n">
        <x:f>IF(OR(A188="",G188=""),"",ROUND('00_Eingabe'!$B$9*G188,0))</x:f>
        <x:v>3</x:v>
      </x:c>
      <x:c r="I188" s="122" t="n">
        <x:f>IF(H188="","",ROUND(H188*'00_Eingabe'!$B$19,0))</x:f>
        <x:v>7</x:v>
      </x:c>
      <x:c r="J188" s="122" t="n">
        <x:f>IF(OR(F188="",I188=""),"",F188+I188)</x:f>
        <x:v>64</x:v>
      </x:c>
      <x:c r="K188" s="122" t="n">
        <x:f>IF(J188="","",ROUND(J188*'00_Eingabe'!$B$16*(1+'00_Eingabe'!$B$14),0))</x:f>
        <x:v>74</x:v>
      </x:c>
      <x:c r="L188" s="122" t="n">
        <x:f>IF(B188="Betriebsferien",0,ROUND(J188*'00_Eingabe'!$B$40,0)+IF(C188="Wochenende",'00_Eingabe'!$B$42,'00_Eingabe'!$B$41))</x:f>
        <x:v>63</x:v>
      </x:c>
      <x:c r="M188" s="123" t="n">
        <x:f>IF(J188="","",ROUND(J188*'00_Eingabe'!$B$17*(1+'00_Eingabe'!$B$15),0))</x:f>
        <x:v>74</x:v>
      </x:c>
      <x:c r="N188" s="106"/>
      <x:c r="O188" s="106"/>
      <x:c r="P188" s="116"/>
      <x:c r="Q188" s="213" t="n">
        <x:f>IF(C188="Wochenende",1,0)</x:f>
        <x:v>0</x:v>
      </x:c>
      <x:c r="R188" s="213" t="n">
        <x:f>IF(AND(B188&lt;&gt;"Betriebsferien",OR(WEEKDAY(A188,2)=2,WEEKDAY(A188,2)=4)),1,0)</x:f>
        <x:v>0</x:v>
      </x:c>
      <x:c r="S188" s="214" t="n">
        <x:f>R188*MIN(1,'00_Eingabe'!$B$62/'00_Eingabe'!$B$61)</x:f>
        <x:v>0</x:v>
      </x:c>
      <x:c r="T188" s="213" t="n">
        <x:f>IF(B188="Betriebsferien",0,IF(B188="Nebensaison",IF(OR(WEEKDAY(A188,2)=1,WEEKDAY(A188,2)=3,WEEKDAY(A188,2)=5),1,0),IF(C188="Unterwoche",1,0)))</x:f>
        <x:v>1</x:v>
      </x:c>
      <x:c r="U188" s="213" t="n">
        <x:f>IF(B188="Betriebsferien",0,'00_Eingabe'!$G$24)</x:f>
        <x:v>8</x:v>
      </x:c>
    </x:row>
    <x:row r="189">
      <x:c r="A189" s="121" t="n">
        <x:f>IF(ROW()-4&lt;DATE('00_Eingabe'!$B$7+1,1,1)-DATE('00_Eingabe'!$B$7,1,1),DATE('00_Eingabe'!$B$7,1,1)+ROW()-4,"")</x:f>
        <x:v>45843</x:v>
      </x:c>
      <x:c r="B189" s="122" t="str">
        <x:f>IF(A189="","",IF(OR(AND(MONTH(A189)=12,DAY(A189)&gt;=20),AND(MONTH(A189)=1,DAY(A189)&lt;=2)),"Weihnachten",IF(OR(AND(MONTH(A189)=11,DAY(A189)&gt;=24),AND(MONTH(A189)=12,DAY(A189)&lt;=7)),"Betriebsferien",IF(OR(AND(MONTH(A189)=1,DAY(A189)&gt;=3),MONTH(A189)=2,MONTH(A189)=3,MONTH(A189)=4,MONTH(A189)=10,MONTH(A189)=11,AND(MONTH(A189)=12,DAY(A189)&lt;=15)),"Nebensaison","Hauptsaison"))))</x:f>
        <x:v>Hauptsaison</x:v>
      </x:c>
      <x:c r="C189" s="122" t="str">
        <x:f>IF(A189="","",IF(WEEKDAY(A189,2)&gt;=6,"Wochenende","Unterwoche"))</x:f>
        <x:v>Wochenende</x:v>
      </x:c>
      <x:c r="D189" s="123" t="n">
        <x:f>IF(A189="","",IF(N189&lt;&gt;"",N189,IF(B189="Nebensaison",IF(C189="Wochenende",'00_Eingabe'!$C$24,'00_Eingabe'!$B$24),IF(B189="Hauptsaison",IF(C189="Wochenende",'00_Eingabe'!$C$25,'00_Eingabe'!$B$25),IF(B189="Weihnachten",IF(C189="Wochenende",'00_Eingabe'!$C$26,'00_Eingabe'!$B$26),IF(C189="Wochenende",'00_Eingabe'!$C$27,'00_Eingabe'!$B$27))))))</x:f>
        <x:v>0.9</x:v>
      </x:c>
      <x:c r="E189" s="122" t="n">
        <x:f>IF(OR(A189="",D189=""),"",ROUND('00_Eingabe'!$B$8*D189,0))</x:f>
        <x:v>32</x:v>
      </x:c>
      <x:c r="F189" s="122" t="n">
        <x:f>IF(E189="","",ROUND(E189*'00_Eingabe'!$B$18,0))</x:f>
        <x:v>61</x:v>
      </x:c>
      <x:c r="G189" s="123" t="n">
        <x:f>IF(A189="","",IF(O189&lt;&gt;"",O189,IF(B189="Nebensaison",IF(C189="Wochenende",'00_Eingabe'!$E$24,'00_Eingabe'!$D$24),IF(B189="Hauptsaison",IF(C189="Wochenende",'00_Eingabe'!$E$25,'00_Eingabe'!$D$25),IF(B189="Weihnachten",IF(C189="Wochenende",'00_Eingabe'!$E$26,'00_Eingabe'!$D$26),IF(C189="Wochenende",'00_Eingabe'!$E$27,'00_Eingabe'!$D$27))))))</x:f>
        <x:v>0.9</x:v>
      </x:c>
      <x:c r="H189" s="122" t="n">
        <x:f>IF(OR(A189="",G189=""),"",ROUND('00_Eingabe'!$B$9*G189,0))</x:f>
        <x:v>4</x:v>
      </x:c>
      <x:c r="I189" s="122" t="n">
        <x:f>IF(H189="","",ROUND(H189*'00_Eingabe'!$B$19,0))</x:f>
        <x:v>9</x:v>
      </x:c>
      <x:c r="J189" s="122" t="n">
        <x:f>IF(OR(F189="",I189=""),"",F189+I189)</x:f>
        <x:v>70</x:v>
      </x:c>
      <x:c r="K189" s="122" t="n">
        <x:f>IF(J189="","",ROUND(J189*'00_Eingabe'!$B$16*(1+'00_Eingabe'!$B$14),0))</x:f>
        <x:v>81</x:v>
      </x:c>
      <x:c r="L189" s="122" t="n">
        <x:f>IF(B189="Betriebsferien",0,ROUND(J189*'00_Eingabe'!$B$40,0)+IF(C189="Wochenende",'00_Eingabe'!$B$42,'00_Eingabe'!$B$41))</x:f>
        <x:v>93</x:v>
      </x:c>
      <x:c r="M189" s="123" t="n">
        <x:f>IF(J189="","",ROUND(J189*'00_Eingabe'!$B$17*(1+'00_Eingabe'!$B$15),0))</x:f>
        <x:v>81</x:v>
      </x:c>
      <x:c r="N189" s="106"/>
      <x:c r="O189" s="106"/>
      <x:c r="P189" s="116"/>
      <x:c r="Q189" s="213" t="n">
        <x:f>IF(C189="Wochenende",1,0)</x:f>
        <x:v>1</x:v>
      </x:c>
      <x:c r="R189" s="213" t="n">
        <x:f>IF(AND(B189&lt;&gt;"Betriebsferien",OR(WEEKDAY(A189,2)=2,WEEKDAY(A189,2)=4)),1,0)</x:f>
        <x:v>0</x:v>
      </x:c>
      <x:c r="S189" s="214" t="n">
        <x:f>R189*MIN(1,'00_Eingabe'!$B$62/'00_Eingabe'!$B$61)</x:f>
        <x:v>0</x:v>
      </x:c>
      <x:c r="T189" s="213" t="n">
        <x:f>IF(B189="Betriebsferien",0,IF(B189="Nebensaison",IF(OR(WEEKDAY(A189,2)=1,WEEKDAY(A189,2)=3,WEEKDAY(A189,2)=5),1,0),IF(C189="Unterwoche",1,0)))</x:f>
        <x:v>0</x:v>
      </x:c>
      <x:c r="U189" s="213" t="n">
        <x:f>IF(B189="Betriebsferien",0,'00_Eingabe'!$G$24)</x:f>
        <x:v>8</x:v>
      </x:c>
    </x:row>
    <x:row r="190">
      <x:c r="A190" s="121" t="n">
        <x:f>IF(ROW()-4&lt;DATE('00_Eingabe'!$B$7+1,1,1)-DATE('00_Eingabe'!$B$7,1,1),DATE('00_Eingabe'!$B$7,1,1)+ROW()-4,"")</x:f>
        <x:v>45844</x:v>
      </x:c>
      <x:c r="B190" s="122" t="str">
        <x:f>IF(A190="","",IF(OR(AND(MONTH(A190)=12,DAY(A190)&gt;=20),AND(MONTH(A190)=1,DAY(A190)&lt;=2)),"Weihnachten",IF(OR(AND(MONTH(A190)=11,DAY(A190)&gt;=24),AND(MONTH(A190)=12,DAY(A190)&lt;=7)),"Betriebsferien",IF(OR(AND(MONTH(A190)=1,DAY(A190)&gt;=3),MONTH(A190)=2,MONTH(A190)=3,MONTH(A190)=4,MONTH(A190)=10,MONTH(A190)=11,AND(MONTH(A190)=12,DAY(A190)&lt;=15)),"Nebensaison","Hauptsaison"))))</x:f>
        <x:v>Hauptsaison</x:v>
      </x:c>
      <x:c r="C190" s="122" t="str">
        <x:f>IF(A190="","",IF(WEEKDAY(A190,2)&gt;=6,"Wochenende","Unterwoche"))</x:f>
        <x:v>Wochenende</x:v>
      </x:c>
      <x:c r="D190" s="123" t="n">
        <x:f>IF(A190="","",IF(N190&lt;&gt;"",N190,IF(B190="Nebensaison",IF(C190="Wochenende",'00_Eingabe'!$C$24,'00_Eingabe'!$B$24),IF(B190="Hauptsaison",IF(C190="Wochenende",'00_Eingabe'!$C$25,'00_Eingabe'!$B$25),IF(B190="Weihnachten",IF(C190="Wochenende",'00_Eingabe'!$C$26,'00_Eingabe'!$B$26),IF(C190="Wochenende",'00_Eingabe'!$C$27,'00_Eingabe'!$B$27))))))</x:f>
        <x:v>0.9</x:v>
      </x:c>
      <x:c r="E190" s="122" t="n">
        <x:f>IF(OR(A190="",D190=""),"",ROUND('00_Eingabe'!$B$8*D190,0))</x:f>
        <x:v>32</x:v>
      </x:c>
      <x:c r="F190" s="122" t="n">
        <x:f>IF(E190="","",ROUND(E190*'00_Eingabe'!$B$18,0))</x:f>
        <x:v>61</x:v>
      </x:c>
      <x:c r="G190" s="123" t="n">
        <x:f>IF(A190="","",IF(O190&lt;&gt;"",O190,IF(B190="Nebensaison",IF(C190="Wochenende",'00_Eingabe'!$E$24,'00_Eingabe'!$D$24),IF(B190="Hauptsaison",IF(C190="Wochenende",'00_Eingabe'!$E$25,'00_Eingabe'!$D$25),IF(B190="Weihnachten",IF(C190="Wochenende",'00_Eingabe'!$E$26,'00_Eingabe'!$D$26),IF(C190="Wochenende",'00_Eingabe'!$E$27,'00_Eingabe'!$D$27))))))</x:f>
        <x:v>0.9</x:v>
      </x:c>
      <x:c r="H190" s="122" t="n">
        <x:f>IF(OR(A190="",G190=""),"",ROUND('00_Eingabe'!$B$9*G190,0))</x:f>
        <x:v>4</x:v>
      </x:c>
      <x:c r="I190" s="122" t="n">
        <x:f>IF(H190="","",ROUND(H190*'00_Eingabe'!$B$19,0))</x:f>
        <x:v>9</x:v>
      </x:c>
      <x:c r="J190" s="122" t="n">
        <x:f>IF(OR(F190="",I190=""),"",F190+I190)</x:f>
        <x:v>70</x:v>
      </x:c>
      <x:c r="K190" s="122" t="n">
        <x:f>IF(J190="","",ROUND(J190*'00_Eingabe'!$B$16*(1+'00_Eingabe'!$B$14),0))</x:f>
        <x:v>81</x:v>
      </x:c>
      <x:c r="L190" s="122" t="n">
        <x:f>IF(B190="Betriebsferien",0,ROUND(J190*'00_Eingabe'!$B$40,0)+IF(C190="Wochenende",'00_Eingabe'!$B$42,'00_Eingabe'!$B$41))</x:f>
        <x:v>93</x:v>
      </x:c>
      <x:c r="M190" s="123" t="n">
        <x:f>IF(J190="","",ROUND(J190*'00_Eingabe'!$B$17*(1+'00_Eingabe'!$B$15),0))</x:f>
        <x:v>81</x:v>
      </x:c>
      <x:c r="N190" s="106"/>
      <x:c r="O190" s="106"/>
      <x:c r="P190" s="116"/>
      <x:c r="Q190" s="213" t="n">
        <x:f>IF(C190="Wochenende",1,0)</x:f>
        <x:v>1</x:v>
      </x:c>
      <x:c r="R190" s="213" t="n">
        <x:f>IF(AND(B190&lt;&gt;"Betriebsferien",OR(WEEKDAY(A190,2)=2,WEEKDAY(A190,2)=4)),1,0)</x:f>
        <x:v>0</x:v>
      </x:c>
      <x:c r="S190" s="214" t="n">
        <x:f>R190*MIN(1,'00_Eingabe'!$B$62/'00_Eingabe'!$B$61)</x:f>
        <x:v>0</x:v>
      </x:c>
      <x:c r="T190" s="213" t="n">
        <x:f>IF(B190="Betriebsferien",0,IF(B190="Nebensaison",IF(OR(WEEKDAY(A190,2)=1,WEEKDAY(A190,2)=3,WEEKDAY(A190,2)=5),1,0),IF(C190="Unterwoche",1,0)))</x:f>
        <x:v>0</x:v>
      </x:c>
      <x:c r="U190" s="213" t="n">
        <x:f>IF(B190="Betriebsferien",0,'00_Eingabe'!$G$24)</x:f>
        <x:v>8</x:v>
      </x:c>
    </x:row>
    <x:row r="191">
      <x:c r="A191" s="121" t="n">
        <x:f>IF(ROW()-4&lt;DATE('00_Eingabe'!$B$7+1,1,1)-DATE('00_Eingabe'!$B$7,1,1),DATE('00_Eingabe'!$B$7,1,1)+ROW()-4,"")</x:f>
        <x:v>45845</x:v>
      </x:c>
      <x:c r="B191" s="122" t="str">
        <x:f>IF(A191="","",IF(OR(AND(MONTH(A191)=12,DAY(A191)&gt;=20),AND(MONTH(A191)=1,DAY(A191)&lt;=2)),"Weihnachten",IF(OR(AND(MONTH(A191)=11,DAY(A191)&gt;=24),AND(MONTH(A191)=12,DAY(A191)&lt;=7)),"Betriebsferien",IF(OR(AND(MONTH(A191)=1,DAY(A191)&gt;=3),MONTH(A191)=2,MONTH(A191)=3,MONTH(A191)=4,MONTH(A191)=10,MONTH(A191)=11,AND(MONTH(A191)=12,DAY(A191)&lt;=15)),"Nebensaison","Hauptsaison"))))</x:f>
        <x:v>Hauptsaison</x:v>
      </x:c>
      <x:c r="C191" s="122" t="str">
        <x:f>IF(A191="","",IF(WEEKDAY(A191,2)&gt;=6,"Wochenende","Unterwoche"))</x:f>
        <x:v>Unterwoche</x:v>
      </x:c>
      <x:c r="D191" s="123" t="n">
        <x:f>IF(A191="","",IF(N191&lt;&gt;"",N191,IF(B191="Nebensaison",IF(C191="Wochenende",'00_Eingabe'!$C$24,'00_Eingabe'!$B$24),IF(B191="Hauptsaison",IF(C191="Wochenende",'00_Eingabe'!$C$25,'00_Eingabe'!$B$25),IF(B191="Weihnachten",IF(C191="Wochenende",'00_Eingabe'!$C$26,'00_Eingabe'!$B$26),IF(C191="Wochenende",'00_Eingabe'!$C$27,'00_Eingabe'!$B$27))))))</x:f>
        <x:v>0.85</x:v>
      </x:c>
      <x:c r="E191" s="122" t="n">
        <x:f>IF(OR(A191="",D191=""),"",ROUND('00_Eingabe'!$B$8*D191,0))</x:f>
        <x:v>30</x:v>
      </x:c>
      <x:c r="F191" s="122" t="n">
        <x:f>IF(E191="","",ROUND(E191*'00_Eingabe'!$B$18,0))</x:f>
        <x:v>57</x:v>
      </x:c>
      <x:c r="G191" s="123" t="n">
        <x:f>IF(A191="","",IF(O191&lt;&gt;"",O191,IF(B191="Nebensaison",IF(C191="Wochenende",'00_Eingabe'!$E$24,'00_Eingabe'!$D$24),IF(B191="Hauptsaison",IF(C191="Wochenende",'00_Eingabe'!$E$25,'00_Eingabe'!$D$25),IF(B191="Weihnachten",IF(C191="Wochenende",'00_Eingabe'!$E$26,'00_Eingabe'!$D$26),IF(C191="Wochenende",'00_Eingabe'!$E$27,'00_Eingabe'!$D$27))))))</x:f>
        <x:v>0.85</x:v>
      </x:c>
      <x:c r="H191" s="122" t="n">
        <x:f>IF(OR(A191="",G191=""),"",ROUND('00_Eingabe'!$B$9*G191,0))</x:f>
        <x:v>3</x:v>
      </x:c>
      <x:c r="I191" s="122" t="n">
        <x:f>IF(H191="","",ROUND(H191*'00_Eingabe'!$B$19,0))</x:f>
        <x:v>7</x:v>
      </x:c>
      <x:c r="J191" s="122" t="n">
        <x:f>IF(OR(F191="",I191=""),"",F191+I191)</x:f>
        <x:v>64</x:v>
      </x:c>
      <x:c r="K191" s="122" t="n">
        <x:f>IF(J191="","",ROUND(J191*'00_Eingabe'!$B$16*(1+'00_Eingabe'!$B$14),0))</x:f>
        <x:v>74</x:v>
      </x:c>
      <x:c r="L191" s="122" t="n">
        <x:f>IF(B191="Betriebsferien",0,ROUND(J191*'00_Eingabe'!$B$40,0)+IF(C191="Wochenende",'00_Eingabe'!$B$42,'00_Eingabe'!$B$41))</x:f>
        <x:v>63</x:v>
      </x:c>
      <x:c r="M191" s="123" t="n">
        <x:f>IF(J191="","",ROUND(J191*'00_Eingabe'!$B$17*(1+'00_Eingabe'!$B$15),0))</x:f>
        <x:v>74</x:v>
      </x:c>
      <x:c r="N191" s="106"/>
      <x:c r="O191" s="106"/>
      <x:c r="P191" s="116"/>
      <x:c r="Q191" s="213" t="n">
        <x:f>IF(C191="Wochenende",1,0)</x:f>
        <x:v>0</x:v>
      </x:c>
      <x:c r="R191" s="213" t="n">
        <x:f>IF(AND(B191&lt;&gt;"Betriebsferien",OR(WEEKDAY(A191,2)=2,WEEKDAY(A191,2)=4)),1,0)</x:f>
        <x:v>0</x:v>
      </x:c>
      <x:c r="S191" s="214" t="n">
        <x:f>R191*MIN(1,'00_Eingabe'!$B$62/'00_Eingabe'!$B$61)</x:f>
        <x:v>0</x:v>
      </x:c>
      <x:c r="T191" s="213" t="n">
        <x:f>IF(B191="Betriebsferien",0,IF(B191="Nebensaison",IF(OR(WEEKDAY(A191,2)=1,WEEKDAY(A191,2)=3,WEEKDAY(A191,2)=5),1,0),IF(C191="Unterwoche",1,0)))</x:f>
        <x:v>1</x:v>
      </x:c>
      <x:c r="U191" s="213" t="n">
        <x:f>IF(B191="Betriebsferien",0,'00_Eingabe'!$G$24)</x:f>
        <x:v>8</x:v>
      </x:c>
    </x:row>
    <x:row r="192">
      <x:c r="A192" s="121" t="n">
        <x:f>IF(ROW()-4&lt;DATE('00_Eingabe'!$B$7+1,1,1)-DATE('00_Eingabe'!$B$7,1,1),DATE('00_Eingabe'!$B$7,1,1)+ROW()-4,"")</x:f>
        <x:v>45846</x:v>
      </x:c>
      <x:c r="B192" s="122" t="str">
        <x:f>IF(A192="","",IF(OR(AND(MONTH(A192)=12,DAY(A192)&gt;=20),AND(MONTH(A192)=1,DAY(A192)&lt;=2)),"Weihnachten",IF(OR(AND(MONTH(A192)=11,DAY(A192)&gt;=24),AND(MONTH(A192)=12,DAY(A192)&lt;=7)),"Betriebsferien",IF(OR(AND(MONTH(A192)=1,DAY(A192)&gt;=3),MONTH(A192)=2,MONTH(A192)=3,MONTH(A192)=4,MONTH(A192)=10,MONTH(A192)=11,AND(MONTH(A192)=12,DAY(A192)&lt;=15)),"Nebensaison","Hauptsaison"))))</x:f>
        <x:v>Hauptsaison</x:v>
      </x:c>
      <x:c r="C192" s="122" t="str">
        <x:f>IF(A192="","",IF(WEEKDAY(A192,2)&gt;=6,"Wochenende","Unterwoche"))</x:f>
        <x:v>Unterwoche</x:v>
      </x:c>
      <x:c r="D192" s="123" t="n">
        <x:f>IF(A192="","",IF(N192&lt;&gt;"",N192,IF(B192="Nebensaison",IF(C192="Wochenende",'00_Eingabe'!$C$24,'00_Eingabe'!$B$24),IF(B192="Hauptsaison",IF(C192="Wochenende",'00_Eingabe'!$C$25,'00_Eingabe'!$B$25),IF(B192="Weihnachten",IF(C192="Wochenende",'00_Eingabe'!$C$26,'00_Eingabe'!$B$26),IF(C192="Wochenende",'00_Eingabe'!$C$27,'00_Eingabe'!$B$27))))))</x:f>
        <x:v>0.85</x:v>
      </x:c>
      <x:c r="E192" s="122" t="n">
        <x:f>IF(OR(A192="",D192=""),"",ROUND('00_Eingabe'!$B$8*D192,0))</x:f>
        <x:v>30</x:v>
      </x:c>
      <x:c r="F192" s="122" t="n">
        <x:f>IF(E192="","",ROUND(E192*'00_Eingabe'!$B$18,0))</x:f>
        <x:v>57</x:v>
      </x:c>
      <x:c r="G192" s="123" t="n">
        <x:f>IF(A192="","",IF(O192&lt;&gt;"",O192,IF(B192="Nebensaison",IF(C192="Wochenende",'00_Eingabe'!$E$24,'00_Eingabe'!$D$24),IF(B192="Hauptsaison",IF(C192="Wochenende",'00_Eingabe'!$E$25,'00_Eingabe'!$D$25),IF(B192="Weihnachten",IF(C192="Wochenende",'00_Eingabe'!$E$26,'00_Eingabe'!$D$26),IF(C192="Wochenende",'00_Eingabe'!$E$27,'00_Eingabe'!$D$27))))))</x:f>
        <x:v>0.85</x:v>
      </x:c>
      <x:c r="H192" s="122" t="n">
        <x:f>IF(OR(A192="",G192=""),"",ROUND('00_Eingabe'!$B$9*G192,0))</x:f>
        <x:v>3</x:v>
      </x:c>
      <x:c r="I192" s="122" t="n">
        <x:f>IF(H192="","",ROUND(H192*'00_Eingabe'!$B$19,0))</x:f>
        <x:v>7</x:v>
      </x:c>
      <x:c r="J192" s="122" t="n">
        <x:f>IF(OR(F192="",I192=""),"",F192+I192)</x:f>
        <x:v>64</x:v>
      </x:c>
      <x:c r="K192" s="122" t="n">
        <x:f>IF(J192="","",ROUND(J192*'00_Eingabe'!$B$16*(1+'00_Eingabe'!$B$14),0))</x:f>
        <x:v>74</x:v>
      </x:c>
      <x:c r="L192" s="122" t="n">
        <x:f>IF(B192="Betriebsferien",0,ROUND(J192*'00_Eingabe'!$B$40,0)+IF(C192="Wochenende",'00_Eingabe'!$B$42,'00_Eingabe'!$B$41))</x:f>
        <x:v>63</x:v>
      </x:c>
      <x:c r="M192" s="123" t="n">
        <x:f>IF(J192="","",ROUND(J192*'00_Eingabe'!$B$17*(1+'00_Eingabe'!$B$15),0))</x:f>
        <x:v>74</x:v>
      </x:c>
      <x:c r="N192" s="106"/>
      <x:c r="O192" s="106"/>
      <x:c r="P192" s="116"/>
      <x:c r="Q192" s="213" t="n">
        <x:f>IF(C192="Wochenende",1,0)</x:f>
        <x:v>0</x:v>
      </x:c>
      <x:c r="R192" s="213" t="n">
        <x:f>IF(AND(B192&lt;&gt;"Betriebsferien",OR(WEEKDAY(A192,2)=2,WEEKDAY(A192,2)=4)),1,0)</x:f>
        <x:v>1</x:v>
      </x:c>
      <x:c r="S192" s="214" t="n">
        <x:f>R192*MIN(1,'00_Eingabe'!$B$62/'00_Eingabe'!$B$61)</x:f>
        <x:v>0.5</x:v>
      </x:c>
      <x:c r="T192" s="213" t="n">
        <x:f>IF(B192="Betriebsferien",0,IF(B192="Nebensaison",IF(OR(WEEKDAY(A192,2)=1,WEEKDAY(A192,2)=3,WEEKDAY(A192,2)=5),1,0),IF(C192="Unterwoche",1,0)))</x:f>
        <x:v>1</x:v>
      </x:c>
      <x:c r="U192" s="213" t="n">
        <x:f>IF(B192="Betriebsferien",0,'00_Eingabe'!$G$24)</x:f>
        <x:v>8</x:v>
      </x:c>
    </x:row>
    <x:row r="193">
      <x:c r="A193" s="121" t="n">
        <x:f>IF(ROW()-4&lt;DATE('00_Eingabe'!$B$7+1,1,1)-DATE('00_Eingabe'!$B$7,1,1),DATE('00_Eingabe'!$B$7,1,1)+ROW()-4,"")</x:f>
        <x:v>45847</x:v>
      </x:c>
      <x:c r="B193" s="122" t="str">
        <x:f>IF(A193="","",IF(OR(AND(MONTH(A193)=12,DAY(A193)&gt;=20),AND(MONTH(A193)=1,DAY(A193)&lt;=2)),"Weihnachten",IF(OR(AND(MONTH(A193)=11,DAY(A193)&gt;=24),AND(MONTH(A193)=12,DAY(A193)&lt;=7)),"Betriebsferien",IF(OR(AND(MONTH(A193)=1,DAY(A193)&gt;=3),MONTH(A193)=2,MONTH(A193)=3,MONTH(A193)=4,MONTH(A193)=10,MONTH(A193)=11,AND(MONTH(A193)=12,DAY(A193)&lt;=15)),"Nebensaison","Hauptsaison"))))</x:f>
        <x:v>Hauptsaison</x:v>
      </x:c>
      <x:c r="C193" s="122" t="str">
        <x:f>IF(A193="","",IF(WEEKDAY(A193,2)&gt;=6,"Wochenende","Unterwoche"))</x:f>
        <x:v>Unterwoche</x:v>
      </x:c>
      <x:c r="D193" s="123" t="n">
        <x:f>IF(A193="","",IF(N193&lt;&gt;"",N193,IF(B193="Nebensaison",IF(C193="Wochenende",'00_Eingabe'!$C$24,'00_Eingabe'!$B$24),IF(B193="Hauptsaison",IF(C193="Wochenende",'00_Eingabe'!$C$25,'00_Eingabe'!$B$25),IF(B193="Weihnachten",IF(C193="Wochenende",'00_Eingabe'!$C$26,'00_Eingabe'!$B$26),IF(C193="Wochenende",'00_Eingabe'!$C$27,'00_Eingabe'!$B$27))))))</x:f>
        <x:v>0.85</x:v>
      </x:c>
      <x:c r="E193" s="122" t="n">
        <x:f>IF(OR(A193="",D193=""),"",ROUND('00_Eingabe'!$B$8*D193,0))</x:f>
        <x:v>30</x:v>
      </x:c>
      <x:c r="F193" s="122" t="n">
        <x:f>IF(E193="","",ROUND(E193*'00_Eingabe'!$B$18,0))</x:f>
        <x:v>57</x:v>
      </x:c>
      <x:c r="G193" s="123" t="n">
        <x:f>IF(A193="","",IF(O193&lt;&gt;"",O193,IF(B193="Nebensaison",IF(C193="Wochenende",'00_Eingabe'!$E$24,'00_Eingabe'!$D$24),IF(B193="Hauptsaison",IF(C193="Wochenende",'00_Eingabe'!$E$25,'00_Eingabe'!$D$25),IF(B193="Weihnachten",IF(C193="Wochenende",'00_Eingabe'!$E$26,'00_Eingabe'!$D$26),IF(C193="Wochenende",'00_Eingabe'!$E$27,'00_Eingabe'!$D$27))))))</x:f>
        <x:v>0.85</x:v>
      </x:c>
      <x:c r="H193" s="122" t="n">
        <x:f>IF(OR(A193="",G193=""),"",ROUND('00_Eingabe'!$B$9*G193,0))</x:f>
        <x:v>3</x:v>
      </x:c>
      <x:c r="I193" s="122" t="n">
        <x:f>IF(H193="","",ROUND(H193*'00_Eingabe'!$B$19,0))</x:f>
        <x:v>7</x:v>
      </x:c>
      <x:c r="J193" s="122" t="n">
        <x:f>IF(OR(F193="",I193=""),"",F193+I193)</x:f>
        <x:v>64</x:v>
      </x:c>
      <x:c r="K193" s="122" t="n">
        <x:f>IF(J193="","",ROUND(J193*'00_Eingabe'!$B$16*(1+'00_Eingabe'!$B$14),0))</x:f>
        <x:v>74</x:v>
      </x:c>
      <x:c r="L193" s="122" t="n">
        <x:f>IF(B193="Betriebsferien",0,ROUND(J193*'00_Eingabe'!$B$40,0)+IF(C193="Wochenende",'00_Eingabe'!$B$42,'00_Eingabe'!$B$41))</x:f>
        <x:v>63</x:v>
      </x:c>
      <x:c r="M193" s="123" t="n">
        <x:f>IF(J193="","",ROUND(J193*'00_Eingabe'!$B$17*(1+'00_Eingabe'!$B$15),0))</x:f>
        <x:v>74</x:v>
      </x:c>
      <x:c r="N193" s="106"/>
      <x:c r="O193" s="106"/>
      <x:c r="P193" s="116"/>
      <x:c r="Q193" s="213" t="n">
        <x:f>IF(C193="Wochenende",1,0)</x:f>
        <x:v>0</x:v>
      </x:c>
      <x:c r="R193" s="213" t="n">
        <x:f>IF(AND(B193&lt;&gt;"Betriebsferien",OR(WEEKDAY(A193,2)=2,WEEKDAY(A193,2)=4)),1,0)</x:f>
        <x:v>0</x:v>
      </x:c>
      <x:c r="S193" s="214" t="n">
        <x:f>R193*MIN(1,'00_Eingabe'!$B$62/'00_Eingabe'!$B$61)</x:f>
        <x:v>0</x:v>
      </x:c>
      <x:c r="T193" s="213" t="n">
        <x:f>IF(B193="Betriebsferien",0,IF(B193="Nebensaison",IF(OR(WEEKDAY(A193,2)=1,WEEKDAY(A193,2)=3,WEEKDAY(A193,2)=5),1,0),IF(C193="Unterwoche",1,0)))</x:f>
        <x:v>1</x:v>
      </x:c>
      <x:c r="U193" s="213" t="n">
        <x:f>IF(B193="Betriebsferien",0,'00_Eingabe'!$G$24)</x:f>
        <x:v>8</x:v>
      </x:c>
    </x:row>
    <x:row r="194">
      <x:c r="A194" s="121" t="n">
        <x:f>IF(ROW()-4&lt;DATE('00_Eingabe'!$B$7+1,1,1)-DATE('00_Eingabe'!$B$7,1,1),DATE('00_Eingabe'!$B$7,1,1)+ROW()-4,"")</x:f>
        <x:v>45848</x:v>
      </x:c>
      <x:c r="B194" s="122" t="str">
        <x:f>IF(A194="","",IF(OR(AND(MONTH(A194)=12,DAY(A194)&gt;=20),AND(MONTH(A194)=1,DAY(A194)&lt;=2)),"Weihnachten",IF(OR(AND(MONTH(A194)=11,DAY(A194)&gt;=24),AND(MONTH(A194)=12,DAY(A194)&lt;=7)),"Betriebsferien",IF(OR(AND(MONTH(A194)=1,DAY(A194)&gt;=3),MONTH(A194)=2,MONTH(A194)=3,MONTH(A194)=4,MONTH(A194)=10,MONTH(A194)=11,AND(MONTH(A194)=12,DAY(A194)&lt;=15)),"Nebensaison","Hauptsaison"))))</x:f>
        <x:v>Hauptsaison</x:v>
      </x:c>
      <x:c r="C194" s="122" t="str">
        <x:f>IF(A194="","",IF(WEEKDAY(A194,2)&gt;=6,"Wochenende","Unterwoche"))</x:f>
        <x:v>Unterwoche</x:v>
      </x:c>
      <x:c r="D194" s="123" t="n">
        <x:f>IF(A194="","",IF(N194&lt;&gt;"",N194,IF(B194="Nebensaison",IF(C194="Wochenende",'00_Eingabe'!$C$24,'00_Eingabe'!$B$24),IF(B194="Hauptsaison",IF(C194="Wochenende",'00_Eingabe'!$C$25,'00_Eingabe'!$B$25),IF(B194="Weihnachten",IF(C194="Wochenende",'00_Eingabe'!$C$26,'00_Eingabe'!$B$26),IF(C194="Wochenende",'00_Eingabe'!$C$27,'00_Eingabe'!$B$27))))))</x:f>
        <x:v>0.85</x:v>
      </x:c>
      <x:c r="E194" s="122" t="n">
        <x:f>IF(OR(A194="",D194=""),"",ROUND('00_Eingabe'!$B$8*D194,0))</x:f>
        <x:v>30</x:v>
      </x:c>
      <x:c r="F194" s="122" t="n">
        <x:f>IF(E194="","",ROUND(E194*'00_Eingabe'!$B$18,0))</x:f>
        <x:v>57</x:v>
      </x:c>
      <x:c r="G194" s="123" t="n">
        <x:f>IF(A194="","",IF(O194&lt;&gt;"",O194,IF(B194="Nebensaison",IF(C194="Wochenende",'00_Eingabe'!$E$24,'00_Eingabe'!$D$24),IF(B194="Hauptsaison",IF(C194="Wochenende",'00_Eingabe'!$E$25,'00_Eingabe'!$D$25),IF(B194="Weihnachten",IF(C194="Wochenende",'00_Eingabe'!$E$26,'00_Eingabe'!$D$26),IF(C194="Wochenende",'00_Eingabe'!$E$27,'00_Eingabe'!$D$27))))))</x:f>
        <x:v>0.85</x:v>
      </x:c>
      <x:c r="H194" s="122" t="n">
        <x:f>IF(OR(A194="",G194=""),"",ROUND('00_Eingabe'!$B$9*G194,0))</x:f>
        <x:v>3</x:v>
      </x:c>
      <x:c r="I194" s="122" t="n">
        <x:f>IF(H194="","",ROUND(H194*'00_Eingabe'!$B$19,0))</x:f>
        <x:v>7</x:v>
      </x:c>
      <x:c r="J194" s="122" t="n">
        <x:f>IF(OR(F194="",I194=""),"",F194+I194)</x:f>
        <x:v>64</x:v>
      </x:c>
      <x:c r="K194" s="122" t="n">
        <x:f>IF(J194="","",ROUND(J194*'00_Eingabe'!$B$16*(1+'00_Eingabe'!$B$14),0))</x:f>
        <x:v>74</x:v>
      </x:c>
      <x:c r="L194" s="122" t="n">
        <x:f>IF(B194="Betriebsferien",0,ROUND(J194*'00_Eingabe'!$B$40,0)+IF(C194="Wochenende",'00_Eingabe'!$B$42,'00_Eingabe'!$B$41))</x:f>
        <x:v>63</x:v>
      </x:c>
      <x:c r="M194" s="123" t="n">
        <x:f>IF(J194="","",ROUND(J194*'00_Eingabe'!$B$17*(1+'00_Eingabe'!$B$15),0))</x:f>
        <x:v>74</x:v>
      </x:c>
      <x:c r="N194" s="106"/>
      <x:c r="O194" s="106"/>
      <x:c r="P194" s="116"/>
      <x:c r="Q194" s="213" t="n">
        <x:f>IF(C194="Wochenende",1,0)</x:f>
        <x:v>0</x:v>
      </x:c>
      <x:c r="R194" s="213" t="n">
        <x:f>IF(AND(B194&lt;&gt;"Betriebsferien",OR(WEEKDAY(A194,2)=2,WEEKDAY(A194,2)=4)),1,0)</x:f>
        <x:v>1</x:v>
      </x:c>
      <x:c r="S194" s="214" t="n">
        <x:f>R194*MIN(1,'00_Eingabe'!$B$62/'00_Eingabe'!$B$61)</x:f>
        <x:v>0.5</x:v>
      </x:c>
      <x:c r="T194" s="213" t="n">
        <x:f>IF(B194="Betriebsferien",0,IF(B194="Nebensaison",IF(OR(WEEKDAY(A194,2)=1,WEEKDAY(A194,2)=3,WEEKDAY(A194,2)=5),1,0),IF(C194="Unterwoche",1,0)))</x:f>
        <x:v>1</x:v>
      </x:c>
      <x:c r="U194" s="213" t="n">
        <x:f>IF(B194="Betriebsferien",0,'00_Eingabe'!$G$24)</x:f>
        <x:v>8</x:v>
      </x:c>
    </x:row>
    <x:row r="195">
      <x:c r="A195" s="121" t="n">
        <x:f>IF(ROW()-4&lt;DATE('00_Eingabe'!$B$7+1,1,1)-DATE('00_Eingabe'!$B$7,1,1),DATE('00_Eingabe'!$B$7,1,1)+ROW()-4,"")</x:f>
        <x:v>45849</x:v>
      </x:c>
      <x:c r="B195" s="122" t="str">
        <x:f>IF(A195="","",IF(OR(AND(MONTH(A195)=12,DAY(A195)&gt;=20),AND(MONTH(A195)=1,DAY(A195)&lt;=2)),"Weihnachten",IF(OR(AND(MONTH(A195)=11,DAY(A195)&gt;=24),AND(MONTH(A195)=12,DAY(A195)&lt;=7)),"Betriebsferien",IF(OR(AND(MONTH(A195)=1,DAY(A195)&gt;=3),MONTH(A195)=2,MONTH(A195)=3,MONTH(A195)=4,MONTH(A195)=10,MONTH(A195)=11,AND(MONTH(A195)=12,DAY(A195)&lt;=15)),"Nebensaison","Hauptsaison"))))</x:f>
        <x:v>Hauptsaison</x:v>
      </x:c>
      <x:c r="C195" s="122" t="str">
        <x:f>IF(A195="","",IF(WEEKDAY(A195,2)&gt;=6,"Wochenende","Unterwoche"))</x:f>
        <x:v>Unterwoche</x:v>
      </x:c>
      <x:c r="D195" s="123" t="n">
        <x:f>IF(A195="","",IF(N195&lt;&gt;"",N195,IF(B195="Nebensaison",IF(C195="Wochenende",'00_Eingabe'!$C$24,'00_Eingabe'!$B$24),IF(B195="Hauptsaison",IF(C195="Wochenende",'00_Eingabe'!$C$25,'00_Eingabe'!$B$25),IF(B195="Weihnachten",IF(C195="Wochenende",'00_Eingabe'!$C$26,'00_Eingabe'!$B$26),IF(C195="Wochenende",'00_Eingabe'!$C$27,'00_Eingabe'!$B$27))))))</x:f>
        <x:v>0.85</x:v>
      </x:c>
      <x:c r="E195" s="122" t="n">
        <x:f>IF(OR(A195="",D195=""),"",ROUND('00_Eingabe'!$B$8*D195,0))</x:f>
        <x:v>30</x:v>
      </x:c>
      <x:c r="F195" s="122" t="n">
        <x:f>IF(E195="","",ROUND(E195*'00_Eingabe'!$B$18,0))</x:f>
        <x:v>57</x:v>
      </x:c>
      <x:c r="G195" s="123" t="n">
        <x:f>IF(A195="","",IF(O195&lt;&gt;"",O195,IF(B195="Nebensaison",IF(C195="Wochenende",'00_Eingabe'!$E$24,'00_Eingabe'!$D$24),IF(B195="Hauptsaison",IF(C195="Wochenende",'00_Eingabe'!$E$25,'00_Eingabe'!$D$25),IF(B195="Weihnachten",IF(C195="Wochenende",'00_Eingabe'!$E$26,'00_Eingabe'!$D$26),IF(C195="Wochenende",'00_Eingabe'!$E$27,'00_Eingabe'!$D$27))))))</x:f>
        <x:v>0.85</x:v>
      </x:c>
      <x:c r="H195" s="122" t="n">
        <x:f>IF(OR(A195="",G195=""),"",ROUND('00_Eingabe'!$B$9*G195,0))</x:f>
        <x:v>3</x:v>
      </x:c>
      <x:c r="I195" s="122" t="n">
        <x:f>IF(H195="","",ROUND(H195*'00_Eingabe'!$B$19,0))</x:f>
        <x:v>7</x:v>
      </x:c>
      <x:c r="J195" s="122" t="n">
        <x:f>IF(OR(F195="",I195=""),"",F195+I195)</x:f>
        <x:v>64</x:v>
      </x:c>
      <x:c r="K195" s="122" t="n">
        <x:f>IF(J195="","",ROUND(J195*'00_Eingabe'!$B$16*(1+'00_Eingabe'!$B$14),0))</x:f>
        <x:v>74</x:v>
      </x:c>
      <x:c r="L195" s="122" t="n">
        <x:f>IF(B195="Betriebsferien",0,ROUND(J195*'00_Eingabe'!$B$40,0)+IF(C195="Wochenende",'00_Eingabe'!$B$42,'00_Eingabe'!$B$41))</x:f>
        <x:v>63</x:v>
      </x:c>
      <x:c r="M195" s="123" t="n">
        <x:f>IF(J195="","",ROUND(J195*'00_Eingabe'!$B$17*(1+'00_Eingabe'!$B$15),0))</x:f>
        <x:v>74</x:v>
      </x:c>
      <x:c r="N195" s="106"/>
      <x:c r="O195" s="106"/>
      <x:c r="P195" s="116"/>
      <x:c r="Q195" s="213" t="n">
        <x:f>IF(C195="Wochenende",1,0)</x:f>
        <x:v>0</x:v>
      </x:c>
      <x:c r="R195" s="213" t="n">
        <x:f>IF(AND(B195&lt;&gt;"Betriebsferien",OR(WEEKDAY(A195,2)=2,WEEKDAY(A195,2)=4)),1,0)</x:f>
        <x:v>0</x:v>
      </x:c>
      <x:c r="S195" s="214" t="n">
        <x:f>R195*MIN(1,'00_Eingabe'!$B$62/'00_Eingabe'!$B$61)</x:f>
        <x:v>0</x:v>
      </x:c>
      <x:c r="T195" s="213" t="n">
        <x:f>IF(B195="Betriebsferien",0,IF(B195="Nebensaison",IF(OR(WEEKDAY(A195,2)=1,WEEKDAY(A195,2)=3,WEEKDAY(A195,2)=5),1,0),IF(C195="Unterwoche",1,0)))</x:f>
        <x:v>1</x:v>
      </x:c>
      <x:c r="U195" s="213" t="n">
        <x:f>IF(B195="Betriebsferien",0,'00_Eingabe'!$G$24)</x:f>
        <x:v>8</x:v>
      </x:c>
    </x:row>
    <x:row r="196">
      <x:c r="A196" s="121" t="n">
        <x:f>IF(ROW()-4&lt;DATE('00_Eingabe'!$B$7+1,1,1)-DATE('00_Eingabe'!$B$7,1,1),DATE('00_Eingabe'!$B$7,1,1)+ROW()-4,"")</x:f>
        <x:v>45850</x:v>
      </x:c>
      <x:c r="B196" s="122" t="str">
        <x:f>IF(A196="","",IF(OR(AND(MONTH(A196)=12,DAY(A196)&gt;=20),AND(MONTH(A196)=1,DAY(A196)&lt;=2)),"Weihnachten",IF(OR(AND(MONTH(A196)=11,DAY(A196)&gt;=24),AND(MONTH(A196)=12,DAY(A196)&lt;=7)),"Betriebsferien",IF(OR(AND(MONTH(A196)=1,DAY(A196)&gt;=3),MONTH(A196)=2,MONTH(A196)=3,MONTH(A196)=4,MONTH(A196)=10,MONTH(A196)=11,AND(MONTH(A196)=12,DAY(A196)&lt;=15)),"Nebensaison","Hauptsaison"))))</x:f>
        <x:v>Hauptsaison</x:v>
      </x:c>
      <x:c r="C196" s="122" t="str">
        <x:f>IF(A196="","",IF(WEEKDAY(A196,2)&gt;=6,"Wochenende","Unterwoche"))</x:f>
        <x:v>Wochenende</x:v>
      </x:c>
      <x:c r="D196" s="123" t="n">
        <x:f>IF(A196="","",IF(N196&lt;&gt;"",N196,IF(B196="Nebensaison",IF(C196="Wochenende",'00_Eingabe'!$C$24,'00_Eingabe'!$B$24),IF(B196="Hauptsaison",IF(C196="Wochenende",'00_Eingabe'!$C$25,'00_Eingabe'!$B$25),IF(B196="Weihnachten",IF(C196="Wochenende",'00_Eingabe'!$C$26,'00_Eingabe'!$B$26),IF(C196="Wochenende",'00_Eingabe'!$C$27,'00_Eingabe'!$B$27))))))</x:f>
        <x:v>0.9</x:v>
      </x:c>
      <x:c r="E196" s="122" t="n">
        <x:f>IF(OR(A196="",D196=""),"",ROUND('00_Eingabe'!$B$8*D196,0))</x:f>
        <x:v>32</x:v>
      </x:c>
      <x:c r="F196" s="122" t="n">
        <x:f>IF(E196="","",ROUND(E196*'00_Eingabe'!$B$18,0))</x:f>
        <x:v>61</x:v>
      </x:c>
      <x:c r="G196" s="123" t="n">
        <x:f>IF(A196="","",IF(O196&lt;&gt;"",O196,IF(B196="Nebensaison",IF(C196="Wochenende",'00_Eingabe'!$E$24,'00_Eingabe'!$D$24),IF(B196="Hauptsaison",IF(C196="Wochenende",'00_Eingabe'!$E$25,'00_Eingabe'!$D$25),IF(B196="Weihnachten",IF(C196="Wochenende",'00_Eingabe'!$E$26,'00_Eingabe'!$D$26),IF(C196="Wochenende",'00_Eingabe'!$E$27,'00_Eingabe'!$D$27))))))</x:f>
        <x:v>0.9</x:v>
      </x:c>
      <x:c r="H196" s="122" t="n">
        <x:f>IF(OR(A196="",G196=""),"",ROUND('00_Eingabe'!$B$9*G196,0))</x:f>
        <x:v>4</x:v>
      </x:c>
      <x:c r="I196" s="122" t="n">
        <x:f>IF(H196="","",ROUND(H196*'00_Eingabe'!$B$19,0))</x:f>
        <x:v>9</x:v>
      </x:c>
      <x:c r="J196" s="122" t="n">
        <x:f>IF(OR(F196="",I196=""),"",F196+I196)</x:f>
        <x:v>70</x:v>
      </x:c>
      <x:c r="K196" s="122" t="n">
        <x:f>IF(J196="","",ROUND(J196*'00_Eingabe'!$B$16*(1+'00_Eingabe'!$B$14),0))</x:f>
        <x:v>81</x:v>
      </x:c>
      <x:c r="L196" s="122" t="n">
        <x:f>IF(B196="Betriebsferien",0,ROUND(J196*'00_Eingabe'!$B$40,0)+IF(C196="Wochenende",'00_Eingabe'!$B$42,'00_Eingabe'!$B$41))</x:f>
        <x:v>93</x:v>
      </x:c>
      <x:c r="M196" s="123" t="n">
        <x:f>IF(J196="","",ROUND(J196*'00_Eingabe'!$B$17*(1+'00_Eingabe'!$B$15),0))</x:f>
        <x:v>81</x:v>
      </x:c>
      <x:c r="N196" s="106"/>
      <x:c r="O196" s="106"/>
      <x:c r="P196" s="116"/>
      <x:c r="Q196" s="213" t="n">
        <x:f>IF(C196="Wochenende",1,0)</x:f>
        <x:v>1</x:v>
      </x:c>
      <x:c r="R196" s="213" t="n">
        <x:f>IF(AND(B196&lt;&gt;"Betriebsferien",OR(WEEKDAY(A196,2)=2,WEEKDAY(A196,2)=4)),1,0)</x:f>
        <x:v>0</x:v>
      </x:c>
      <x:c r="S196" s="214" t="n">
        <x:f>R196*MIN(1,'00_Eingabe'!$B$62/'00_Eingabe'!$B$61)</x:f>
        <x:v>0</x:v>
      </x:c>
      <x:c r="T196" s="213" t="n">
        <x:f>IF(B196="Betriebsferien",0,IF(B196="Nebensaison",IF(OR(WEEKDAY(A196,2)=1,WEEKDAY(A196,2)=3,WEEKDAY(A196,2)=5),1,0),IF(C196="Unterwoche",1,0)))</x:f>
        <x:v>0</x:v>
      </x:c>
      <x:c r="U196" s="213" t="n">
        <x:f>IF(B196="Betriebsferien",0,'00_Eingabe'!$G$24)</x:f>
        <x:v>8</x:v>
      </x:c>
    </x:row>
    <x:row r="197">
      <x:c r="A197" s="121" t="n">
        <x:f>IF(ROW()-4&lt;DATE('00_Eingabe'!$B$7+1,1,1)-DATE('00_Eingabe'!$B$7,1,1),DATE('00_Eingabe'!$B$7,1,1)+ROW()-4,"")</x:f>
        <x:v>45851</x:v>
      </x:c>
      <x:c r="B197" s="122" t="str">
        <x:f>IF(A197="","",IF(OR(AND(MONTH(A197)=12,DAY(A197)&gt;=20),AND(MONTH(A197)=1,DAY(A197)&lt;=2)),"Weihnachten",IF(OR(AND(MONTH(A197)=11,DAY(A197)&gt;=24),AND(MONTH(A197)=12,DAY(A197)&lt;=7)),"Betriebsferien",IF(OR(AND(MONTH(A197)=1,DAY(A197)&gt;=3),MONTH(A197)=2,MONTH(A197)=3,MONTH(A197)=4,MONTH(A197)=10,MONTH(A197)=11,AND(MONTH(A197)=12,DAY(A197)&lt;=15)),"Nebensaison","Hauptsaison"))))</x:f>
        <x:v>Hauptsaison</x:v>
      </x:c>
      <x:c r="C197" s="122" t="str">
        <x:f>IF(A197="","",IF(WEEKDAY(A197,2)&gt;=6,"Wochenende","Unterwoche"))</x:f>
        <x:v>Wochenende</x:v>
      </x:c>
      <x:c r="D197" s="123" t="n">
        <x:f>IF(A197="","",IF(N197&lt;&gt;"",N197,IF(B197="Nebensaison",IF(C197="Wochenende",'00_Eingabe'!$C$24,'00_Eingabe'!$B$24),IF(B197="Hauptsaison",IF(C197="Wochenende",'00_Eingabe'!$C$25,'00_Eingabe'!$B$25),IF(B197="Weihnachten",IF(C197="Wochenende",'00_Eingabe'!$C$26,'00_Eingabe'!$B$26),IF(C197="Wochenende",'00_Eingabe'!$C$27,'00_Eingabe'!$B$27))))))</x:f>
        <x:v>0.9</x:v>
      </x:c>
      <x:c r="E197" s="122" t="n">
        <x:f>IF(OR(A197="",D197=""),"",ROUND('00_Eingabe'!$B$8*D197,0))</x:f>
        <x:v>32</x:v>
      </x:c>
      <x:c r="F197" s="122" t="n">
        <x:f>IF(E197="","",ROUND(E197*'00_Eingabe'!$B$18,0))</x:f>
        <x:v>61</x:v>
      </x:c>
      <x:c r="G197" s="123" t="n">
        <x:f>IF(A197="","",IF(O197&lt;&gt;"",O197,IF(B197="Nebensaison",IF(C197="Wochenende",'00_Eingabe'!$E$24,'00_Eingabe'!$D$24),IF(B197="Hauptsaison",IF(C197="Wochenende",'00_Eingabe'!$E$25,'00_Eingabe'!$D$25),IF(B197="Weihnachten",IF(C197="Wochenende",'00_Eingabe'!$E$26,'00_Eingabe'!$D$26),IF(C197="Wochenende",'00_Eingabe'!$E$27,'00_Eingabe'!$D$27))))))</x:f>
        <x:v>0.9</x:v>
      </x:c>
      <x:c r="H197" s="122" t="n">
        <x:f>IF(OR(A197="",G197=""),"",ROUND('00_Eingabe'!$B$9*G197,0))</x:f>
        <x:v>4</x:v>
      </x:c>
      <x:c r="I197" s="122" t="n">
        <x:f>IF(H197="","",ROUND(H197*'00_Eingabe'!$B$19,0))</x:f>
        <x:v>9</x:v>
      </x:c>
      <x:c r="J197" s="122" t="n">
        <x:f>IF(OR(F197="",I197=""),"",F197+I197)</x:f>
        <x:v>70</x:v>
      </x:c>
      <x:c r="K197" s="122" t="n">
        <x:f>IF(J197="","",ROUND(J197*'00_Eingabe'!$B$16*(1+'00_Eingabe'!$B$14),0))</x:f>
        <x:v>81</x:v>
      </x:c>
      <x:c r="L197" s="122" t="n">
        <x:f>IF(B197="Betriebsferien",0,ROUND(J197*'00_Eingabe'!$B$40,0)+IF(C197="Wochenende",'00_Eingabe'!$B$42,'00_Eingabe'!$B$41))</x:f>
        <x:v>93</x:v>
      </x:c>
      <x:c r="M197" s="123" t="n">
        <x:f>IF(J197="","",ROUND(J197*'00_Eingabe'!$B$17*(1+'00_Eingabe'!$B$15),0))</x:f>
        <x:v>81</x:v>
      </x:c>
      <x:c r="N197" s="106"/>
      <x:c r="O197" s="106"/>
      <x:c r="P197" s="116"/>
      <x:c r="Q197" s="213" t="n">
        <x:f>IF(C197="Wochenende",1,0)</x:f>
        <x:v>1</x:v>
      </x:c>
      <x:c r="R197" s="213" t="n">
        <x:f>IF(AND(B197&lt;&gt;"Betriebsferien",OR(WEEKDAY(A197,2)=2,WEEKDAY(A197,2)=4)),1,0)</x:f>
        <x:v>0</x:v>
      </x:c>
      <x:c r="S197" s="214" t="n">
        <x:f>R197*MIN(1,'00_Eingabe'!$B$62/'00_Eingabe'!$B$61)</x:f>
        <x:v>0</x:v>
      </x:c>
      <x:c r="T197" s="213" t="n">
        <x:f>IF(B197="Betriebsferien",0,IF(B197="Nebensaison",IF(OR(WEEKDAY(A197,2)=1,WEEKDAY(A197,2)=3,WEEKDAY(A197,2)=5),1,0),IF(C197="Unterwoche",1,0)))</x:f>
        <x:v>0</x:v>
      </x:c>
      <x:c r="U197" s="213" t="n">
        <x:f>IF(B197="Betriebsferien",0,'00_Eingabe'!$G$24)</x:f>
        <x:v>8</x:v>
      </x:c>
    </x:row>
    <x:row r="198">
      <x:c r="A198" s="121" t="n">
        <x:f>IF(ROW()-4&lt;DATE('00_Eingabe'!$B$7+1,1,1)-DATE('00_Eingabe'!$B$7,1,1),DATE('00_Eingabe'!$B$7,1,1)+ROW()-4,"")</x:f>
        <x:v>45852</x:v>
      </x:c>
      <x:c r="B198" s="122" t="str">
        <x:f>IF(A198="","",IF(OR(AND(MONTH(A198)=12,DAY(A198)&gt;=20),AND(MONTH(A198)=1,DAY(A198)&lt;=2)),"Weihnachten",IF(OR(AND(MONTH(A198)=11,DAY(A198)&gt;=24),AND(MONTH(A198)=12,DAY(A198)&lt;=7)),"Betriebsferien",IF(OR(AND(MONTH(A198)=1,DAY(A198)&gt;=3),MONTH(A198)=2,MONTH(A198)=3,MONTH(A198)=4,MONTH(A198)=10,MONTH(A198)=11,AND(MONTH(A198)=12,DAY(A198)&lt;=15)),"Nebensaison","Hauptsaison"))))</x:f>
        <x:v>Hauptsaison</x:v>
      </x:c>
      <x:c r="C198" s="122" t="str">
        <x:f>IF(A198="","",IF(WEEKDAY(A198,2)&gt;=6,"Wochenende","Unterwoche"))</x:f>
        <x:v>Unterwoche</x:v>
      </x:c>
      <x:c r="D198" s="123" t="n">
        <x:f>IF(A198="","",IF(N198&lt;&gt;"",N198,IF(B198="Nebensaison",IF(C198="Wochenende",'00_Eingabe'!$C$24,'00_Eingabe'!$B$24),IF(B198="Hauptsaison",IF(C198="Wochenende",'00_Eingabe'!$C$25,'00_Eingabe'!$B$25),IF(B198="Weihnachten",IF(C198="Wochenende",'00_Eingabe'!$C$26,'00_Eingabe'!$B$26),IF(C198="Wochenende",'00_Eingabe'!$C$27,'00_Eingabe'!$B$27))))))</x:f>
        <x:v>0.85</x:v>
      </x:c>
      <x:c r="E198" s="122" t="n">
        <x:f>IF(OR(A198="",D198=""),"",ROUND('00_Eingabe'!$B$8*D198,0))</x:f>
        <x:v>30</x:v>
      </x:c>
      <x:c r="F198" s="122" t="n">
        <x:f>IF(E198="","",ROUND(E198*'00_Eingabe'!$B$18,0))</x:f>
        <x:v>57</x:v>
      </x:c>
      <x:c r="G198" s="123" t="n">
        <x:f>IF(A198="","",IF(O198&lt;&gt;"",O198,IF(B198="Nebensaison",IF(C198="Wochenende",'00_Eingabe'!$E$24,'00_Eingabe'!$D$24),IF(B198="Hauptsaison",IF(C198="Wochenende",'00_Eingabe'!$E$25,'00_Eingabe'!$D$25),IF(B198="Weihnachten",IF(C198="Wochenende",'00_Eingabe'!$E$26,'00_Eingabe'!$D$26),IF(C198="Wochenende",'00_Eingabe'!$E$27,'00_Eingabe'!$D$27))))))</x:f>
        <x:v>0.85</x:v>
      </x:c>
      <x:c r="H198" s="122" t="n">
        <x:f>IF(OR(A198="",G198=""),"",ROUND('00_Eingabe'!$B$9*G198,0))</x:f>
        <x:v>3</x:v>
      </x:c>
      <x:c r="I198" s="122" t="n">
        <x:f>IF(H198="","",ROUND(H198*'00_Eingabe'!$B$19,0))</x:f>
        <x:v>7</x:v>
      </x:c>
      <x:c r="J198" s="122" t="n">
        <x:f>IF(OR(F198="",I198=""),"",F198+I198)</x:f>
        <x:v>64</x:v>
      </x:c>
      <x:c r="K198" s="122" t="n">
        <x:f>IF(J198="","",ROUND(J198*'00_Eingabe'!$B$16*(1+'00_Eingabe'!$B$14),0))</x:f>
        <x:v>74</x:v>
      </x:c>
      <x:c r="L198" s="122" t="n">
        <x:f>IF(B198="Betriebsferien",0,ROUND(J198*'00_Eingabe'!$B$40,0)+IF(C198="Wochenende",'00_Eingabe'!$B$42,'00_Eingabe'!$B$41))</x:f>
        <x:v>63</x:v>
      </x:c>
      <x:c r="M198" s="123" t="n">
        <x:f>IF(J198="","",ROUND(J198*'00_Eingabe'!$B$17*(1+'00_Eingabe'!$B$15),0))</x:f>
        <x:v>74</x:v>
      </x:c>
      <x:c r="N198" s="106"/>
      <x:c r="O198" s="106"/>
      <x:c r="P198" s="116"/>
      <x:c r="Q198" s="213" t="n">
        <x:f>IF(C198="Wochenende",1,0)</x:f>
        <x:v>0</x:v>
      </x:c>
      <x:c r="R198" s="213" t="n">
        <x:f>IF(AND(B198&lt;&gt;"Betriebsferien",OR(WEEKDAY(A198,2)=2,WEEKDAY(A198,2)=4)),1,0)</x:f>
        <x:v>0</x:v>
      </x:c>
      <x:c r="S198" s="214" t="n">
        <x:f>R198*MIN(1,'00_Eingabe'!$B$62/'00_Eingabe'!$B$61)</x:f>
        <x:v>0</x:v>
      </x:c>
      <x:c r="T198" s="213" t="n">
        <x:f>IF(B198="Betriebsferien",0,IF(B198="Nebensaison",IF(OR(WEEKDAY(A198,2)=1,WEEKDAY(A198,2)=3,WEEKDAY(A198,2)=5),1,0),IF(C198="Unterwoche",1,0)))</x:f>
        <x:v>1</x:v>
      </x:c>
      <x:c r="U198" s="213" t="n">
        <x:f>IF(B198="Betriebsferien",0,'00_Eingabe'!$G$24)</x:f>
        <x:v>8</x:v>
      </x:c>
    </x:row>
    <x:row r="199">
      <x:c r="A199" s="121" t="n">
        <x:f>IF(ROW()-4&lt;DATE('00_Eingabe'!$B$7+1,1,1)-DATE('00_Eingabe'!$B$7,1,1),DATE('00_Eingabe'!$B$7,1,1)+ROW()-4,"")</x:f>
        <x:v>45853</x:v>
      </x:c>
      <x:c r="B199" s="122" t="str">
        <x:f>IF(A199="","",IF(OR(AND(MONTH(A199)=12,DAY(A199)&gt;=20),AND(MONTH(A199)=1,DAY(A199)&lt;=2)),"Weihnachten",IF(OR(AND(MONTH(A199)=11,DAY(A199)&gt;=24),AND(MONTH(A199)=12,DAY(A199)&lt;=7)),"Betriebsferien",IF(OR(AND(MONTH(A199)=1,DAY(A199)&gt;=3),MONTH(A199)=2,MONTH(A199)=3,MONTH(A199)=4,MONTH(A199)=10,MONTH(A199)=11,AND(MONTH(A199)=12,DAY(A199)&lt;=15)),"Nebensaison","Hauptsaison"))))</x:f>
        <x:v>Hauptsaison</x:v>
      </x:c>
      <x:c r="C199" s="122" t="str">
        <x:f>IF(A199="","",IF(WEEKDAY(A199,2)&gt;=6,"Wochenende","Unterwoche"))</x:f>
        <x:v>Unterwoche</x:v>
      </x:c>
      <x:c r="D199" s="123" t="n">
        <x:f>IF(A199="","",IF(N199&lt;&gt;"",N199,IF(B199="Nebensaison",IF(C199="Wochenende",'00_Eingabe'!$C$24,'00_Eingabe'!$B$24),IF(B199="Hauptsaison",IF(C199="Wochenende",'00_Eingabe'!$C$25,'00_Eingabe'!$B$25),IF(B199="Weihnachten",IF(C199="Wochenende",'00_Eingabe'!$C$26,'00_Eingabe'!$B$26),IF(C199="Wochenende",'00_Eingabe'!$C$27,'00_Eingabe'!$B$27))))))</x:f>
        <x:v>0.85</x:v>
      </x:c>
      <x:c r="E199" s="122" t="n">
        <x:f>IF(OR(A199="",D199=""),"",ROUND('00_Eingabe'!$B$8*D199,0))</x:f>
        <x:v>30</x:v>
      </x:c>
      <x:c r="F199" s="122" t="n">
        <x:f>IF(E199="","",ROUND(E199*'00_Eingabe'!$B$18,0))</x:f>
        <x:v>57</x:v>
      </x:c>
      <x:c r="G199" s="123" t="n">
        <x:f>IF(A199="","",IF(O199&lt;&gt;"",O199,IF(B199="Nebensaison",IF(C199="Wochenende",'00_Eingabe'!$E$24,'00_Eingabe'!$D$24),IF(B199="Hauptsaison",IF(C199="Wochenende",'00_Eingabe'!$E$25,'00_Eingabe'!$D$25),IF(B199="Weihnachten",IF(C199="Wochenende",'00_Eingabe'!$E$26,'00_Eingabe'!$D$26),IF(C199="Wochenende",'00_Eingabe'!$E$27,'00_Eingabe'!$D$27))))))</x:f>
        <x:v>0.85</x:v>
      </x:c>
      <x:c r="H199" s="122" t="n">
        <x:f>IF(OR(A199="",G199=""),"",ROUND('00_Eingabe'!$B$9*G199,0))</x:f>
        <x:v>3</x:v>
      </x:c>
      <x:c r="I199" s="122" t="n">
        <x:f>IF(H199="","",ROUND(H199*'00_Eingabe'!$B$19,0))</x:f>
        <x:v>7</x:v>
      </x:c>
      <x:c r="J199" s="122" t="n">
        <x:f>IF(OR(F199="",I199=""),"",F199+I199)</x:f>
        <x:v>64</x:v>
      </x:c>
      <x:c r="K199" s="122" t="n">
        <x:f>IF(J199="","",ROUND(J199*'00_Eingabe'!$B$16*(1+'00_Eingabe'!$B$14),0))</x:f>
        <x:v>74</x:v>
      </x:c>
      <x:c r="L199" s="122" t="n">
        <x:f>IF(B199="Betriebsferien",0,ROUND(J199*'00_Eingabe'!$B$40,0)+IF(C199="Wochenende",'00_Eingabe'!$B$42,'00_Eingabe'!$B$41))</x:f>
        <x:v>63</x:v>
      </x:c>
      <x:c r="M199" s="123" t="n">
        <x:f>IF(J199="","",ROUND(J199*'00_Eingabe'!$B$17*(1+'00_Eingabe'!$B$15),0))</x:f>
        <x:v>74</x:v>
      </x:c>
      <x:c r="N199" s="106"/>
      <x:c r="O199" s="106"/>
      <x:c r="P199" s="116"/>
      <x:c r="Q199" s="213" t="n">
        <x:f>IF(C199="Wochenende",1,0)</x:f>
        <x:v>0</x:v>
      </x:c>
      <x:c r="R199" s="213" t="n">
        <x:f>IF(AND(B199&lt;&gt;"Betriebsferien",OR(WEEKDAY(A199,2)=2,WEEKDAY(A199,2)=4)),1,0)</x:f>
        <x:v>1</x:v>
      </x:c>
      <x:c r="S199" s="214" t="n">
        <x:f>R199*MIN(1,'00_Eingabe'!$B$62/'00_Eingabe'!$B$61)</x:f>
        <x:v>0.5</x:v>
      </x:c>
      <x:c r="T199" s="213" t="n">
        <x:f>IF(B199="Betriebsferien",0,IF(B199="Nebensaison",IF(OR(WEEKDAY(A199,2)=1,WEEKDAY(A199,2)=3,WEEKDAY(A199,2)=5),1,0),IF(C199="Unterwoche",1,0)))</x:f>
        <x:v>1</x:v>
      </x:c>
      <x:c r="U199" s="213" t="n">
        <x:f>IF(B199="Betriebsferien",0,'00_Eingabe'!$G$24)</x:f>
        <x:v>8</x:v>
      </x:c>
    </x:row>
    <x:row r="200">
      <x:c r="A200" s="121" t="n">
        <x:f>IF(ROW()-4&lt;DATE('00_Eingabe'!$B$7+1,1,1)-DATE('00_Eingabe'!$B$7,1,1),DATE('00_Eingabe'!$B$7,1,1)+ROW()-4,"")</x:f>
        <x:v>45854</x:v>
      </x:c>
      <x:c r="B200" s="122" t="str">
        <x:f>IF(A200="","",IF(OR(AND(MONTH(A200)=12,DAY(A200)&gt;=20),AND(MONTH(A200)=1,DAY(A200)&lt;=2)),"Weihnachten",IF(OR(AND(MONTH(A200)=11,DAY(A200)&gt;=24),AND(MONTH(A200)=12,DAY(A200)&lt;=7)),"Betriebsferien",IF(OR(AND(MONTH(A200)=1,DAY(A200)&gt;=3),MONTH(A200)=2,MONTH(A200)=3,MONTH(A200)=4,MONTH(A200)=10,MONTH(A200)=11,AND(MONTH(A200)=12,DAY(A200)&lt;=15)),"Nebensaison","Hauptsaison"))))</x:f>
        <x:v>Hauptsaison</x:v>
      </x:c>
      <x:c r="C200" s="122" t="str">
        <x:f>IF(A200="","",IF(WEEKDAY(A200,2)&gt;=6,"Wochenende","Unterwoche"))</x:f>
        <x:v>Unterwoche</x:v>
      </x:c>
      <x:c r="D200" s="123" t="n">
        <x:f>IF(A200="","",IF(N200&lt;&gt;"",N200,IF(B200="Nebensaison",IF(C200="Wochenende",'00_Eingabe'!$C$24,'00_Eingabe'!$B$24),IF(B200="Hauptsaison",IF(C200="Wochenende",'00_Eingabe'!$C$25,'00_Eingabe'!$B$25),IF(B200="Weihnachten",IF(C200="Wochenende",'00_Eingabe'!$C$26,'00_Eingabe'!$B$26),IF(C200="Wochenende",'00_Eingabe'!$C$27,'00_Eingabe'!$B$27))))))</x:f>
        <x:v>0.85</x:v>
      </x:c>
      <x:c r="E200" s="122" t="n">
        <x:f>IF(OR(A200="",D200=""),"",ROUND('00_Eingabe'!$B$8*D200,0))</x:f>
        <x:v>30</x:v>
      </x:c>
      <x:c r="F200" s="122" t="n">
        <x:f>IF(E200="","",ROUND(E200*'00_Eingabe'!$B$18,0))</x:f>
        <x:v>57</x:v>
      </x:c>
      <x:c r="G200" s="123" t="n">
        <x:f>IF(A200="","",IF(O200&lt;&gt;"",O200,IF(B200="Nebensaison",IF(C200="Wochenende",'00_Eingabe'!$E$24,'00_Eingabe'!$D$24),IF(B200="Hauptsaison",IF(C200="Wochenende",'00_Eingabe'!$E$25,'00_Eingabe'!$D$25),IF(B200="Weihnachten",IF(C200="Wochenende",'00_Eingabe'!$E$26,'00_Eingabe'!$D$26),IF(C200="Wochenende",'00_Eingabe'!$E$27,'00_Eingabe'!$D$27))))))</x:f>
        <x:v>0.85</x:v>
      </x:c>
      <x:c r="H200" s="122" t="n">
        <x:f>IF(OR(A200="",G200=""),"",ROUND('00_Eingabe'!$B$9*G200,0))</x:f>
        <x:v>3</x:v>
      </x:c>
      <x:c r="I200" s="122" t="n">
        <x:f>IF(H200="","",ROUND(H200*'00_Eingabe'!$B$19,0))</x:f>
        <x:v>7</x:v>
      </x:c>
      <x:c r="J200" s="122" t="n">
        <x:f>IF(OR(F200="",I200=""),"",F200+I200)</x:f>
        <x:v>64</x:v>
      </x:c>
      <x:c r="K200" s="122" t="n">
        <x:f>IF(J200="","",ROUND(J200*'00_Eingabe'!$B$16*(1+'00_Eingabe'!$B$14),0))</x:f>
        <x:v>74</x:v>
      </x:c>
      <x:c r="L200" s="122" t="n">
        <x:f>IF(B200="Betriebsferien",0,ROUND(J200*'00_Eingabe'!$B$40,0)+IF(C200="Wochenende",'00_Eingabe'!$B$42,'00_Eingabe'!$B$41))</x:f>
        <x:v>63</x:v>
      </x:c>
      <x:c r="M200" s="123" t="n">
        <x:f>IF(J200="","",ROUND(J200*'00_Eingabe'!$B$17*(1+'00_Eingabe'!$B$15),0))</x:f>
        <x:v>74</x:v>
      </x:c>
      <x:c r="N200" s="106"/>
      <x:c r="O200" s="106"/>
      <x:c r="P200" s="116"/>
      <x:c r="Q200" s="213" t="n">
        <x:f>IF(C200="Wochenende",1,0)</x:f>
        <x:v>0</x:v>
      </x:c>
      <x:c r="R200" s="213" t="n">
        <x:f>IF(AND(B200&lt;&gt;"Betriebsferien",OR(WEEKDAY(A200,2)=2,WEEKDAY(A200,2)=4)),1,0)</x:f>
        <x:v>0</x:v>
      </x:c>
      <x:c r="S200" s="214" t="n">
        <x:f>R200*MIN(1,'00_Eingabe'!$B$62/'00_Eingabe'!$B$61)</x:f>
        <x:v>0</x:v>
      </x:c>
      <x:c r="T200" s="213" t="n">
        <x:f>IF(B200="Betriebsferien",0,IF(B200="Nebensaison",IF(OR(WEEKDAY(A200,2)=1,WEEKDAY(A200,2)=3,WEEKDAY(A200,2)=5),1,0),IF(C200="Unterwoche",1,0)))</x:f>
        <x:v>1</x:v>
      </x:c>
      <x:c r="U200" s="213" t="n">
        <x:f>IF(B200="Betriebsferien",0,'00_Eingabe'!$G$24)</x:f>
        <x:v>8</x:v>
      </x:c>
    </x:row>
    <x:row r="201">
      <x:c r="A201" s="121" t="n">
        <x:f>IF(ROW()-4&lt;DATE('00_Eingabe'!$B$7+1,1,1)-DATE('00_Eingabe'!$B$7,1,1),DATE('00_Eingabe'!$B$7,1,1)+ROW()-4,"")</x:f>
        <x:v>45855</x:v>
      </x:c>
      <x:c r="B201" s="122" t="str">
        <x:f>IF(A201="","",IF(OR(AND(MONTH(A201)=12,DAY(A201)&gt;=20),AND(MONTH(A201)=1,DAY(A201)&lt;=2)),"Weihnachten",IF(OR(AND(MONTH(A201)=11,DAY(A201)&gt;=24),AND(MONTH(A201)=12,DAY(A201)&lt;=7)),"Betriebsferien",IF(OR(AND(MONTH(A201)=1,DAY(A201)&gt;=3),MONTH(A201)=2,MONTH(A201)=3,MONTH(A201)=4,MONTH(A201)=10,MONTH(A201)=11,AND(MONTH(A201)=12,DAY(A201)&lt;=15)),"Nebensaison","Hauptsaison"))))</x:f>
        <x:v>Hauptsaison</x:v>
      </x:c>
      <x:c r="C201" s="122" t="str">
        <x:f>IF(A201="","",IF(WEEKDAY(A201,2)&gt;=6,"Wochenende","Unterwoche"))</x:f>
        <x:v>Unterwoche</x:v>
      </x:c>
      <x:c r="D201" s="123" t="n">
        <x:f>IF(A201="","",IF(N201&lt;&gt;"",N201,IF(B201="Nebensaison",IF(C201="Wochenende",'00_Eingabe'!$C$24,'00_Eingabe'!$B$24),IF(B201="Hauptsaison",IF(C201="Wochenende",'00_Eingabe'!$C$25,'00_Eingabe'!$B$25),IF(B201="Weihnachten",IF(C201="Wochenende",'00_Eingabe'!$C$26,'00_Eingabe'!$B$26),IF(C201="Wochenende",'00_Eingabe'!$C$27,'00_Eingabe'!$B$27))))))</x:f>
        <x:v>0.85</x:v>
      </x:c>
      <x:c r="E201" s="122" t="n">
        <x:f>IF(OR(A201="",D201=""),"",ROUND('00_Eingabe'!$B$8*D201,0))</x:f>
        <x:v>30</x:v>
      </x:c>
      <x:c r="F201" s="122" t="n">
        <x:f>IF(E201="","",ROUND(E201*'00_Eingabe'!$B$18,0))</x:f>
        <x:v>57</x:v>
      </x:c>
      <x:c r="G201" s="123" t="n">
        <x:f>IF(A201="","",IF(O201&lt;&gt;"",O201,IF(B201="Nebensaison",IF(C201="Wochenende",'00_Eingabe'!$E$24,'00_Eingabe'!$D$24),IF(B201="Hauptsaison",IF(C201="Wochenende",'00_Eingabe'!$E$25,'00_Eingabe'!$D$25),IF(B201="Weihnachten",IF(C201="Wochenende",'00_Eingabe'!$E$26,'00_Eingabe'!$D$26),IF(C201="Wochenende",'00_Eingabe'!$E$27,'00_Eingabe'!$D$27))))))</x:f>
        <x:v>0.85</x:v>
      </x:c>
      <x:c r="H201" s="122" t="n">
        <x:f>IF(OR(A201="",G201=""),"",ROUND('00_Eingabe'!$B$9*G201,0))</x:f>
        <x:v>3</x:v>
      </x:c>
      <x:c r="I201" s="122" t="n">
        <x:f>IF(H201="","",ROUND(H201*'00_Eingabe'!$B$19,0))</x:f>
        <x:v>7</x:v>
      </x:c>
      <x:c r="J201" s="122" t="n">
        <x:f>IF(OR(F201="",I201=""),"",F201+I201)</x:f>
        <x:v>64</x:v>
      </x:c>
      <x:c r="K201" s="122" t="n">
        <x:f>IF(J201="","",ROUND(J201*'00_Eingabe'!$B$16*(1+'00_Eingabe'!$B$14),0))</x:f>
        <x:v>74</x:v>
      </x:c>
      <x:c r="L201" s="122" t="n">
        <x:f>IF(B201="Betriebsferien",0,ROUND(J201*'00_Eingabe'!$B$40,0)+IF(C201="Wochenende",'00_Eingabe'!$B$42,'00_Eingabe'!$B$41))</x:f>
        <x:v>63</x:v>
      </x:c>
      <x:c r="M201" s="123" t="n">
        <x:f>IF(J201="","",ROUND(J201*'00_Eingabe'!$B$17*(1+'00_Eingabe'!$B$15),0))</x:f>
        <x:v>74</x:v>
      </x:c>
      <x:c r="N201" s="106"/>
      <x:c r="O201" s="106"/>
      <x:c r="P201" s="116"/>
      <x:c r="Q201" s="213" t="n">
        <x:f>IF(C201="Wochenende",1,0)</x:f>
        <x:v>0</x:v>
      </x:c>
      <x:c r="R201" s="213" t="n">
        <x:f>IF(AND(B201&lt;&gt;"Betriebsferien",OR(WEEKDAY(A201,2)=2,WEEKDAY(A201,2)=4)),1,0)</x:f>
        <x:v>1</x:v>
      </x:c>
      <x:c r="S201" s="214" t="n">
        <x:f>R201*MIN(1,'00_Eingabe'!$B$62/'00_Eingabe'!$B$61)</x:f>
        <x:v>0.5</x:v>
      </x:c>
      <x:c r="T201" s="213" t="n">
        <x:f>IF(B201="Betriebsferien",0,IF(B201="Nebensaison",IF(OR(WEEKDAY(A201,2)=1,WEEKDAY(A201,2)=3,WEEKDAY(A201,2)=5),1,0),IF(C201="Unterwoche",1,0)))</x:f>
        <x:v>1</x:v>
      </x:c>
      <x:c r="U201" s="213" t="n">
        <x:f>IF(B201="Betriebsferien",0,'00_Eingabe'!$G$24)</x:f>
        <x:v>8</x:v>
      </x:c>
    </x:row>
    <x:row r="202">
      <x:c r="A202" s="121" t="n">
        <x:f>IF(ROW()-4&lt;DATE('00_Eingabe'!$B$7+1,1,1)-DATE('00_Eingabe'!$B$7,1,1),DATE('00_Eingabe'!$B$7,1,1)+ROW()-4,"")</x:f>
        <x:v>45856</x:v>
      </x:c>
      <x:c r="B202" s="122" t="str">
        <x:f>IF(A202="","",IF(OR(AND(MONTH(A202)=12,DAY(A202)&gt;=20),AND(MONTH(A202)=1,DAY(A202)&lt;=2)),"Weihnachten",IF(OR(AND(MONTH(A202)=11,DAY(A202)&gt;=24),AND(MONTH(A202)=12,DAY(A202)&lt;=7)),"Betriebsferien",IF(OR(AND(MONTH(A202)=1,DAY(A202)&gt;=3),MONTH(A202)=2,MONTH(A202)=3,MONTH(A202)=4,MONTH(A202)=10,MONTH(A202)=11,AND(MONTH(A202)=12,DAY(A202)&lt;=15)),"Nebensaison","Hauptsaison"))))</x:f>
        <x:v>Hauptsaison</x:v>
      </x:c>
      <x:c r="C202" s="122" t="str">
        <x:f>IF(A202="","",IF(WEEKDAY(A202,2)&gt;=6,"Wochenende","Unterwoche"))</x:f>
        <x:v>Unterwoche</x:v>
      </x:c>
      <x:c r="D202" s="123" t="n">
        <x:f>IF(A202="","",IF(N202&lt;&gt;"",N202,IF(B202="Nebensaison",IF(C202="Wochenende",'00_Eingabe'!$C$24,'00_Eingabe'!$B$24),IF(B202="Hauptsaison",IF(C202="Wochenende",'00_Eingabe'!$C$25,'00_Eingabe'!$B$25),IF(B202="Weihnachten",IF(C202="Wochenende",'00_Eingabe'!$C$26,'00_Eingabe'!$B$26),IF(C202="Wochenende",'00_Eingabe'!$C$27,'00_Eingabe'!$B$27))))))</x:f>
        <x:v>0.85</x:v>
      </x:c>
      <x:c r="E202" s="122" t="n">
        <x:f>IF(OR(A202="",D202=""),"",ROUND('00_Eingabe'!$B$8*D202,0))</x:f>
        <x:v>30</x:v>
      </x:c>
      <x:c r="F202" s="122" t="n">
        <x:f>IF(E202="","",ROUND(E202*'00_Eingabe'!$B$18,0))</x:f>
        <x:v>57</x:v>
      </x:c>
      <x:c r="G202" s="123" t="n">
        <x:f>IF(A202="","",IF(O202&lt;&gt;"",O202,IF(B202="Nebensaison",IF(C202="Wochenende",'00_Eingabe'!$E$24,'00_Eingabe'!$D$24),IF(B202="Hauptsaison",IF(C202="Wochenende",'00_Eingabe'!$E$25,'00_Eingabe'!$D$25),IF(B202="Weihnachten",IF(C202="Wochenende",'00_Eingabe'!$E$26,'00_Eingabe'!$D$26),IF(C202="Wochenende",'00_Eingabe'!$E$27,'00_Eingabe'!$D$27))))))</x:f>
        <x:v>0.85</x:v>
      </x:c>
      <x:c r="H202" s="122" t="n">
        <x:f>IF(OR(A202="",G202=""),"",ROUND('00_Eingabe'!$B$9*G202,0))</x:f>
        <x:v>3</x:v>
      </x:c>
      <x:c r="I202" s="122" t="n">
        <x:f>IF(H202="","",ROUND(H202*'00_Eingabe'!$B$19,0))</x:f>
        <x:v>7</x:v>
      </x:c>
      <x:c r="J202" s="122" t="n">
        <x:f>IF(OR(F202="",I202=""),"",F202+I202)</x:f>
        <x:v>64</x:v>
      </x:c>
      <x:c r="K202" s="122" t="n">
        <x:f>IF(J202="","",ROUND(J202*'00_Eingabe'!$B$16*(1+'00_Eingabe'!$B$14),0))</x:f>
        <x:v>74</x:v>
      </x:c>
      <x:c r="L202" s="122" t="n">
        <x:f>IF(B202="Betriebsferien",0,ROUND(J202*'00_Eingabe'!$B$40,0)+IF(C202="Wochenende",'00_Eingabe'!$B$42,'00_Eingabe'!$B$41))</x:f>
        <x:v>63</x:v>
      </x:c>
      <x:c r="M202" s="123" t="n">
        <x:f>IF(J202="","",ROUND(J202*'00_Eingabe'!$B$17*(1+'00_Eingabe'!$B$15),0))</x:f>
        <x:v>74</x:v>
      </x:c>
      <x:c r="N202" s="106"/>
      <x:c r="O202" s="106"/>
      <x:c r="P202" s="116"/>
      <x:c r="Q202" s="213" t="n">
        <x:f>IF(C202="Wochenende",1,0)</x:f>
        <x:v>0</x:v>
      </x:c>
      <x:c r="R202" s="213" t="n">
        <x:f>IF(AND(B202&lt;&gt;"Betriebsferien",OR(WEEKDAY(A202,2)=2,WEEKDAY(A202,2)=4)),1,0)</x:f>
        <x:v>0</x:v>
      </x:c>
      <x:c r="S202" s="214" t="n">
        <x:f>R202*MIN(1,'00_Eingabe'!$B$62/'00_Eingabe'!$B$61)</x:f>
        <x:v>0</x:v>
      </x:c>
      <x:c r="T202" s="213" t="n">
        <x:f>IF(B202="Betriebsferien",0,IF(B202="Nebensaison",IF(OR(WEEKDAY(A202,2)=1,WEEKDAY(A202,2)=3,WEEKDAY(A202,2)=5),1,0),IF(C202="Unterwoche",1,0)))</x:f>
        <x:v>1</x:v>
      </x:c>
      <x:c r="U202" s="213" t="n">
        <x:f>IF(B202="Betriebsferien",0,'00_Eingabe'!$G$24)</x:f>
        <x:v>8</x:v>
      </x:c>
    </x:row>
    <x:row r="203">
      <x:c r="A203" s="121" t="n">
        <x:f>IF(ROW()-4&lt;DATE('00_Eingabe'!$B$7+1,1,1)-DATE('00_Eingabe'!$B$7,1,1),DATE('00_Eingabe'!$B$7,1,1)+ROW()-4,"")</x:f>
        <x:v>45857</x:v>
      </x:c>
      <x:c r="B203" s="122" t="str">
        <x:f>IF(A203="","",IF(OR(AND(MONTH(A203)=12,DAY(A203)&gt;=20),AND(MONTH(A203)=1,DAY(A203)&lt;=2)),"Weihnachten",IF(OR(AND(MONTH(A203)=11,DAY(A203)&gt;=24),AND(MONTH(A203)=12,DAY(A203)&lt;=7)),"Betriebsferien",IF(OR(AND(MONTH(A203)=1,DAY(A203)&gt;=3),MONTH(A203)=2,MONTH(A203)=3,MONTH(A203)=4,MONTH(A203)=10,MONTH(A203)=11,AND(MONTH(A203)=12,DAY(A203)&lt;=15)),"Nebensaison","Hauptsaison"))))</x:f>
        <x:v>Hauptsaison</x:v>
      </x:c>
      <x:c r="C203" s="122" t="str">
        <x:f>IF(A203="","",IF(WEEKDAY(A203,2)&gt;=6,"Wochenende","Unterwoche"))</x:f>
        <x:v>Wochenende</x:v>
      </x:c>
      <x:c r="D203" s="123" t="n">
        <x:f>IF(A203="","",IF(N203&lt;&gt;"",N203,IF(B203="Nebensaison",IF(C203="Wochenende",'00_Eingabe'!$C$24,'00_Eingabe'!$B$24),IF(B203="Hauptsaison",IF(C203="Wochenende",'00_Eingabe'!$C$25,'00_Eingabe'!$B$25),IF(B203="Weihnachten",IF(C203="Wochenende",'00_Eingabe'!$C$26,'00_Eingabe'!$B$26),IF(C203="Wochenende",'00_Eingabe'!$C$27,'00_Eingabe'!$B$27))))))</x:f>
        <x:v>0.9</x:v>
      </x:c>
      <x:c r="E203" s="122" t="n">
        <x:f>IF(OR(A203="",D203=""),"",ROUND('00_Eingabe'!$B$8*D203,0))</x:f>
        <x:v>32</x:v>
      </x:c>
      <x:c r="F203" s="122" t="n">
        <x:f>IF(E203="","",ROUND(E203*'00_Eingabe'!$B$18,0))</x:f>
        <x:v>61</x:v>
      </x:c>
      <x:c r="G203" s="123" t="n">
        <x:f>IF(A203="","",IF(O203&lt;&gt;"",O203,IF(B203="Nebensaison",IF(C203="Wochenende",'00_Eingabe'!$E$24,'00_Eingabe'!$D$24),IF(B203="Hauptsaison",IF(C203="Wochenende",'00_Eingabe'!$E$25,'00_Eingabe'!$D$25),IF(B203="Weihnachten",IF(C203="Wochenende",'00_Eingabe'!$E$26,'00_Eingabe'!$D$26),IF(C203="Wochenende",'00_Eingabe'!$E$27,'00_Eingabe'!$D$27))))))</x:f>
        <x:v>0.9</x:v>
      </x:c>
      <x:c r="H203" s="122" t="n">
        <x:f>IF(OR(A203="",G203=""),"",ROUND('00_Eingabe'!$B$9*G203,0))</x:f>
        <x:v>4</x:v>
      </x:c>
      <x:c r="I203" s="122" t="n">
        <x:f>IF(H203="","",ROUND(H203*'00_Eingabe'!$B$19,0))</x:f>
        <x:v>9</x:v>
      </x:c>
      <x:c r="J203" s="122" t="n">
        <x:f>IF(OR(F203="",I203=""),"",F203+I203)</x:f>
        <x:v>70</x:v>
      </x:c>
      <x:c r="K203" s="122" t="n">
        <x:f>IF(J203="","",ROUND(J203*'00_Eingabe'!$B$16*(1+'00_Eingabe'!$B$14),0))</x:f>
        <x:v>81</x:v>
      </x:c>
      <x:c r="L203" s="122" t="n">
        <x:f>IF(B203="Betriebsferien",0,ROUND(J203*'00_Eingabe'!$B$40,0)+IF(C203="Wochenende",'00_Eingabe'!$B$42,'00_Eingabe'!$B$41))</x:f>
        <x:v>93</x:v>
      </x:c>
      <x:c r="M203" s="123" t="n">
        <x:f>IF(J203="","",ROUND(J203*'00_Eingabe'!$B$17*(1+'00_Eingabe'!$B$15),0))</x:f>
        <x:v>81</x:v>
      </x:c>
      <x:c r="N203" s="106"/>
      <x:c r="O203" s="106"/>
      <x:c r="P203" s="116"/>
      <x:c r="Q203" s="213" t="n">
        <x:f>IF(C203="Wochenende",1,0)</x:f>
        <x:v>1</x:v>
      </x:c>
      <x:c r="R203" s="213" t="n">
        <x:f>IF(AND(B203&lt;&gt;"Betriebsferien",OR(WEEKDAY(A203,2)=2,WEEKDAY(A203,2)=4)),1,0)</x:f>
        <x:v>0</x:v>
      </x:c>
      <x:c r="S203" s="214" t="n">
        <x:f>R203*MIN(1,'00_Eingabe'!$B$62/'00_Eingabe'!$B$61)</x:f>
        <x:v>0</x:v>
      </x:c>
      <x:c r="T203" s="213" t="n">
        <x:f>IF(B203="Betriebsferien",0,IF(B203="Nebensaison",IF(OR(WEEKDAY(A203,2)=1,WEEKDAY(A203,2)=3,WEEKDAY(A203,2)=5),1,0),IF(C203="Unterwoche",1,0)))</x:f>
        <x:v>0</x:v>
      </x:c>
      <x:c r="U203" s="213" t="n">
        <x:f>IF(B203="Betriebsferien",0,'00_Eingabe'!$G$24)</x:f>
        <x:v>8</x:v>
      </x:c>
    </x:row>
    <x:row r="204">
      <x:c r="A204" s="121" t="n">
        <x:f>IF(ROW()-4&lt;DATE('00_Eingabe'!$B$7+1,1,1)-DATE('00_Eingabe'!$B$7,1,1),DATE('00_Eingabe'!$B$7,1,1)+ROW()-4,"")</x:f>
        <x:v>45858</x:v>
      </x:c>
      <x:c r="B204" s="122" t="str">
        <x:f>IF(A204="","",IF(OR(AND(MONTH(A204)=12,DAY(A204)&gt;=20),AND(MONTH(A204)=1,DAY(A204)&lt;=2)),"Weihnachten",IF(OR(AND(MONTH(A204)=11,DAY(A204)&gt;=24),AND(MONTH(A204)=12,DAY(A204)&lt;=7)),"Betriebsferien",IF(OR(AND(MONTH(A204)=1,DAY(A204)&gt;=3),MONTH(A204)=2,MONTH(A204)=3,MONTH(A204)=4,MONTH(A204)=10,MONTH(A204)=11,AND(MONTH(A204)=12,DAY(A204)&lt;=15)),"Nebensaison","Hauptsaison"))))</x:f>
        <x:v>Hauptsaison</x:v>
      </x:c>
      <x:c r="C204" s="122" t="str">
        <x:f>IF(A204="","",IF(WEEKDAY(A204,2)&gt;=6,"Wochenende","Unterwoche"))</x:f>
        <x:v>Wochenende</x:v>
      </x:c>
      <x:c r="D204" s="123" t="n">
        <x:f>IF(A204="","",IF(N204&lt;&gt;"",N204,IF(B204="Nebensaison",IF(C204="Wochenende",'00_Eingabe'!$C$24,'00_Eingabe'!$B$24),IF(B204="Hauptsaison",IF(C204="Wochenende",'00_Eingabe'!$C$25,'00_Eingabe'!$B$25),IF(B204="Weihnachten",IF(C204="Wochenende",'00_Eingabe'!$C$26,'00_Eingabe'!$B$26),IF(C204="Wochenende",'00_Eingabe'!$C$27,'00_Eingabe'!$B$27))))))</x:f>
        <x:v>0.9</x:v>
      </x:c>
      <x:c r="E204" s="122" t="n">
        <x:f>IF(OR(A204="",D204=""),"",ROUND('00_Eingabe'!$B$8*D204,0))</x:f>
        <x:v>32</x:v>
      </x:c>
      <x:c r="F204" s="122" t="n">
        <x:f>IF(E204="","",ROUND(E204*'00_Eingabe'!$B$18,0))</x:f>
        <x:v>61</x:v>
      </x:c>
      <x:c r="G204" s="123" t="n">
        <x:f>IF(A204="","",IF(O204&lt;&gt;"",O204,IF(B204="Nebensaison",IF(C204="Wochenende",'00_Eingabe'!$E$24,'00_Eingabe'!$D$24),IF(B204="Hauptsaison",IF(C204="Wochenende",'00_Eingabe'!$E$25,'00_Eingabe'!$D$25),IF(B204="Weihnachten",IF(C204="Wochenende",'00_Eingabe'!$E$26,'00_Eingabe'!$D$26),IF(C204="Wochenende",'00_Eingabe'!$E$27,'00_Eingabe'!$D$27))))))</x:f>
        <x:v>0.9</x:v>
      </x:c>
      <x:c r="H204" s="122" t="n">
        <x:f>IF(OR(A204="",G204=""),"",ROUND('00_Eingabe'!$B$9*G204,0))</x:f>
        <x:v>4</x:v>
      </x:c>
      <x:c r="I204" s="122" t="n">
        <x:f>IF(H204="","",ROUND(H204*'00_Eingabe'!$B$19,0))</x:f>
        <x:v>9</x:v>
      </x:c>
      <x:c r="J204" s="122" t="n">
        <x:f>IF(OR(F204="",I204=""),"",F204+I204)</x:f>
        <x:v>70</x:v>
      </x:c>
      <x:c r="K204" s="122" t="n">
        <x:f>IF(J204="","",ROUND(J204*'00_Eingabe'!$B$16*(1+'00_Eingabe'!$B$14),0))</x:f>
        <x:v>81</x:v>
      </x:c>
      <x:c r="L204" s="122" t="n">
        <x:f>IF(B204="Betriebsferien",0,ROUND(J204*'00_Eingabe'!$B$40,0)+IF(C204="Wochenende",'00_Eingabe'!$B$42,'00_Eingabe'!$B$41))</x:f>
        <x:v>93</x:v>
      </x:c>
      <x:c r="M204" s="123" t="n">
        <x:f>IF(J204="","",ROUND(J204*'00_Eingabe'!$B$17*(1+'00_Eingabe'!$B$15),0))</x:f>
        <x:v>81</x:v>
      </x:c>
      <x:c r="N204" s="106"/>
      <x:c r="O204" s="106"/>
      <x:c r="P204" s="116"/>
      <x:c r="Q204" s="213" t="n">
        <x:f>IF(C204="Wochenende",1,0)</x:f>
        <x:v>1</x:v>
      </x:c>
      <x:c r="R204" s="213" t="n">
        <x:f>IF(AND(B204&lt;&gt;"Betriebsferien",OR(WEEKDAY(A204,2)=2,WEEKDAY(A204,2)=4)),1,0)</x:f>
        <x:v>0</x:v>
      </x:c>
      <x:c r="S204" s="214" t="n">
        <x:f>R204*MIN(1,'00_Eingabe'!$B$62/'00_Eingabe'!$B$61)</x:f>
        <x:v>0</x:v>
      </x:c>
      <x:c r="T204" s="213" t="n">
        <x:f>IF(B204="Betriebsferien",0,IF(B204="Nebensaison",IF(OR(WEEKDAY(A204,2)=1,WEEKDAY(A204,2)=3,WEEKDAY(A204,2)=5),1,0),IF(C204="Unterwoche",1,0)))</x:f>
        <x:v>0</x:v>
      </x:c>
      <x:c r="U204" s="213" t="n">
        <x:f>IF(B204="Betriebsferien",0,'00_Eingabe'!$G$24)</x:f>
        <x:v>8</x:v>
      </x:c>
    </x:row>
    <x:row r="205">
      <x:c r="A205" s="121" t="n">
        <x:f>IF(ROW()-4&lt;DATE('00_Eingabe'!$B$7+1,1,1)-DATE('00_Eingabe'!$B$7,1,1),DATE('00_Eingabe'!$B$7,1,1)+ROW()-4,"")</x:f>
        <x:v>45859</x:v>
      </x:c>
      <x:c r="B205" s="122" t="str">
        <x:f>IF(A205="","",IF(OR(AND(MONTH(A205)=12,DAY(A205)&gt;=20),AND(MONTH(A205)=1,DAY(A205)&lt;=2)),"Weihnachten",IF(OR(AND(MONTH(A205)=11,DAY(A205)&gt;=24),AND(MONTH(A205)=12,DAY(A205)&lt;=7)),"Betriebsferien",IF(OR(AND(MONTH(A205)=1,DAY(A205)&gt;=3),MONTH(A205)=2,MONTH(A205)=3,MONTH(A205)=4,MONTH(A205)=10,MONTH(A205)=11,AND(MONTH(A205)=12,DAY(A205)&lt;=15)),"Nebensaison","Hauptsaison"))))</x:f>
        <x:v>Hauptsaison</x:v>
      </x:c>
      <x:c r="C205" s="122" t="str">
        <x:f>IF(A205="","",IF(WEEKDAY(A205,2)&gt;=6,"Wochenende","Unterwoche"))</x:f>
        <x:v>Unterwoche</x:v>
      </x:c>
      <x:c r="D205" s="123" t="n">
        <x:f>IF(A205="","",IF(N205&lt;&gt;"",N205,IF(B205="Nebensaison",IF(C205="Wochenende",'00_Eingabe'!$C$24,'00_Eingabe'!$B$24),IF(B205="Hauptsaison",IF(C205="Wochenende",'00_Eingabe'!$C$25,'00_Eingabe'!$B$25),IF(B205="Weihnachten",IF(C205="Wochenende",'00_Eingabe'!$C$26,'00_Eingabe'!$B$26),IF(C205="Wochenende",'00_Eingabe'!$C$27,'00_Eingabe'!$B$27))))))</x:f>
        <x:v>0.85</x:v>
      </x:c>
      <x:c r="E205" s="122" t="n">
        <x:f>IF(OR(A205="",D205=""),"",ROUND('00_Eingabe'!$B$8*D205,0))</x:f>
        <x:v>30</x:v>
      </x:c>
      <x:c r="F205" s="122" t="n">
        <x:f>IF(E205="","",ROUND(E205*'00_Eingabe'!$B$18,0))</x:f>
        <x:v>57</x:v>
      </x:c>
      <x:c r="G205" s="123" t="n">
        <x:f>IF(A205="","",IF(O205&lt;&gt;"",O205,IF(B205="Nebensaison",IF(C205="Wochenende",'00_Eingabe'!$E$24,'00_Eingabe'!$D$24),IF(B205="Hauptsaison",IF(C205="Wochenende",'00_Eingabe'!$E$25,'00_Eingabe'!$D$25),IF(B205="Weihnachten",IF(C205="Wochenende",'00_Eingabe'!$E$26,'00_Eingabe'!$D$26),IF(C205="Wochenende",'00_Eingabe'!$E$27,'00_Eingabe'!$D$27))))))</x:f>
        <x:v>0.85</x:v>
      </x:c>
      <x:c r="H205" s="122" t="n">
        <x:f>IF(OR(A205="",G205=""),"",ROUND('00_Eingabe'!$B$9*G205,0))</x:f>
        <x:v>3</x:v>
      </x:c>
      <x:c r="I205" s="122" t="n">
        <x:f>IF(H205="","",ROUND(H205*'00_Eingabe'!$B$19,0))</x:f>
        <x:v>7</x:v>
      </x:c>
      <x:c r="J205" s="122" t="n">
        <x:f>IF(OR(F205="",I205=""),"",F205+I205)</x:f>
        <x:v>64</x:v>
      </x:c>
      <x:c r="K205" s="122" t="n">
        <x:f>IF(J205="","",ROUND(J205*'00_Eingabe'!$B$16*(1+'00_Eingabe'!$B$14),0))</x:f>
        <x:v>74</x:v>
      </x:c>
      <x:c r="L205" s="122" t="n">
        <x:f>IF(B205="Betriebsferien",0,ROUND(J205*'00_Eingabe'!$B$40,0)+IF(C205="Wochenende",'00_Eingabe'!$B$42,'00_Eingabe'!$B$41))</x:f>
        <x:v>63</x:v>
      </x:c>
      <x:c r="M205" s="123" t="n">
        <x:f>IF(J205="","",ROUND(J205*'00_Eingabe'!$B$17*(1+'00_Eingabe'!$B$15),0))</x:f>
        <x:v>74</x:v>
      </x:c>
      <x:c r="N205" s="106"/>
      <x:c r="O205" s="106"/>
      <x:c r="P205" s="116"/>
      <x:c r="Q205" s="213" t="n">
        <x:f>IF(C205="Wochenende",1,0)</x:f>
        <x:v>0</x:v>
      </x:c>
      <x:c r="R205" s="213" t="n">
        <x:f>IF(AND(B205&lt;&gt;"Betriebsferien",OR(WEEKDAY(A205,2)=2,WEEKDAY(A205,2)=4)),1,0)</x:f>
        <x:v>0</x:v>
      </x:c>
      <x:c r="S205" s="214" t="n">
        <x:f>R205*MIN(1,'00_Eingabe'!$B$62/'00_Eingabe'!$B$61)</x:f>
        <x:v>0</x:v>
      </x:c>
      <x:c r="T205" s="213" t="n">
        <x:f>IF(B205="Betriebsferien",0,IF(B205="Nebensaison",IF(OR(WEEKDAY(A205,2)=1,WEEKDAY(A205,2)=3,WEEKDAY(A205,2)=5),1,0),IF(C205="Unterwoche",1,0)))</x:f>
        <x:v>1</x:v>
      </x:c>
      <x:c r="U205" s="213" t="n">
        <x:f>IF(B205="Betriebsferien",0,'00_Eingabe'!$G$24)</x:f>
        <x:v>8</x:v>
      </x:c>
    </x:row>
    <x:row r="206">
      <x:c r="A206" s="121" t="n">
        <x:f>IF(ROW()-4&lt;DATE('00_Eingabe'!$B$7+1,1,1)-DATE('00_Eingabe'!$B$7,1,1),DATE('00_Eingabe'!$B$7,1,1)+ROW()-4,"")</x:f>
        <x:v>45860</x:v>
      </x:c>
      <x:c r="B206" s="122" t="str">
        <x:f>IF(A206="","",IF(OR(AND(MONTH(A206)=12,DAY(A206)&gt;=20),AND(MONTH(A206)=1,DAY(A206)&lt;=2)),"Weihnachten",IF(OR(AND(MONTH(A206)=11,DAY(A206)&gt;=24),AND(MONTH(A206)=12,DAY(A206)&lt;=7)),"Betriebsferien",IF(OR(AND(MONTH(A206)=1,DAY(A206)&gt;=3),MONTH(A206)=2,MONTH(A206)=3,MONTH(A206)=4,MONTH(A206)=10,MONTH(A206)=11,AND(MONTH(A206)=12,DAY(A206)&lt;=15)),"Nebensaison","Hauptsaison"))))</x:f>
        <x:v>Hauptsaison</x:v>
      </x:c>
      <x:c r="C206" s="122" t="str">
        <x:f>IF(A206="","",IF(WEEKDAY(A206,2)&gt;=6,"Wochenende","Unterwoche"))</x:f>
        <x:v>Unterwoche</x:v>
      </x:c>
      <x:c r="D206" s="123" t="n">
        <x:f>IF(A206="","",IF(N206&lt;&gt;"",N206,IF(B206="Nebensaison",IF(C206="Wochenende",'00_Eingabe'!$C$24,'00_Eingabe'!$B$24),IF(B206="Hauptsaison",IF(C206="Wochenende",'00_Eingabe'!$C$25,'00_Eingabe'!$B$25),IF(B206="Weihnachten",IF(C206="Wochenende",'00_Eingabe'!$C$26,'00_Eingabe'!$B$26),IF(C206="Wochenende",'00_Eingabe'!$C$27,'00_Eingabe'!$B$27))))))</x:f>
        <x:v>0.85</x:v>
      </x:c>
      <x:c r="E206" s="122" t="n">
        <x:f>IF(OR(A206="",D206=""),"",ROUND('00_Eingabe'!$B$8*D206,0))</x:f>
        <x:v>30</x:v>
      </x:c>
      <x:c r="F206" s="122" t="n">
        <x:f>IF(E206="","",ROUND(E206*'00_Eingabe'!$B$18,0))</x:f>
        <x:v>57</x:v>
      </x:c>
      <x:c r="G206" s="123" t="n">
        <x:f>IF(A206="","",IF(O206&lt;&gt;"",O206,IF(B206="Nebensaison",IF(C206="Wochenende",'00_Eingabe'!$E$24,'00_Eingabe'!$D$24),IF(B206="Hauptsaison",IF(C206="Wochenende",'00_Eingabe'!$E$25,'00_Eingabe'!$D$25),IF(B206="Weihnachten",IF(C206="Wochenende",'00_Eingabe'!$E$26,'00_Eingabe'!$D$26),IF(C206="Wochenende",'00_Eingabe'!$E$27,'00_Eingabe'!$D$27))))))</x:f>
        <x:v>0.85</x:v>
      </x:c>
      <x:c r="H206" s="122" t="n">
        <x:f>IF(OR(A206="",G206=""),"",ROUND('00_Eingabe'!$B$9*G206,0))</x:f>
        <x:v>3</x:v>
      </x:c>
      <x:c r="I206" s="122" t="n">
        <x:f>IF(H206="","",ROUND(H206*'00_Eingabe'!$B$19,0))</x:f>
        <x:v>7</x:v>
      </x:c>
      <x:c r="J206" s="122" t="n">
        <x:f>IF(OR(F206="",I206=""),"",F206+I206)</x:f>
        <x:v>64</x:v>
      </x:c>
      <x:c r="K206" s="122" t="n">
        <x:f>IF(J206="","",ROUND(J206*'00_Eingabe'!$B$16*(1+'00_Eingabe'!$B$14),0))</x:f>
        <x:v>74</x:v>
      </x:c>
      <x:c r="L206" s="122" t="n">
        <x:f>IF(B206="Betriebsferien",0,ROUND(J206*'00_Eingabe'!$B$40,0)+IF(C206="Wochenende",'00_Eingabe'!$B$42,'00_Eingabe'!$B$41))</x:f>
        <x:v>63</x:v>
      </x:c>
      <x:c r="M206" s="123" t="n">
        <x:f>IF(J206="","",ROUND(J206*'00_Eingabe'!$B$17*(1+'00_Eingabe'!$B$15),0))</x:f>
        <x:v>74</x:v>
      </x:c>
      <x:c r="N206" s="106"/>
      <x:c r="O206" s="106"/>
      <x:c r="P206" s="116"/>
      <x:c r="Q206" s="213" t="n">
        <x:f>IF(C206="Wochenende",1,0)</x:f>
        <x:v>0</x:v>
      </x:c>
      <x:c r="R206" s="213" t="n">
        <x:f>IF(AND(B206&lt;&gt;"Betriebsferien",OR(WEEKDAY(A206,2)=2,WEEKDAY(A206,2)=4)),1,0)</x:f>
        <x:v>1</x:v>
      </x:c>
      <x:c r="S206" s="214" t="n">
        <x:f>R206*MIN(1,'00_Eingabe'!$B$62/'00_Eingabe'!$B$61)</x:f>
        <x:v>0.5</x:v>
      </x:c>
      <x:c r="T206" s="213" t="n">
        <x:f>IF(B206="Betriebsferien",0,IF(B206="Nebensaison",IF(OR(WEEKDAY(A206,2)=1,WEEKDAY(A206,2)=3,WEEKDAY(A206,2)=5),1,0),IF(C206="Unterwoche",1,0)))</x:f>
        <x:v>1</x:v>
      </x:c>
      <x:c r="U206" s="213" t="n">
        <x:f>IF(B206="Betriebsferien",0,'00_Eingabe'!$G$24)</x:f>
        <x:v>8</x:v>
      </x:c>
    </x:row>
    <x:row r="207">
      <x:c r="A207" s="121" t="n">
        <x:f>IF(ROW()-4&lt;DATE('00_Eingabe'!$B$7+1,1,1)-DATE('00_Eingabe'!$B$7,1,1),DATE('00_Eingabe'!$B$7,1,1)+ROW()-4,"")</x:f>
        <x:v>45861</x:v>
      </x:c>
      <x:c r="B207" s="122" t="str">
        <x:f>IF(A207="","",IF(OR(AND(MONTH(A207)=12,DAY(A207)&gt;=20),AND(MONTH(A207)=1,DAY(A207)&lt;=2)),"Weihnachten",IF(OR(AND(MONTH(A207)=11,DAY(A207)&gt;=24),AND(MONTH(A207)=12,DAY(A207)&lt;=7)),"Betriebsferien",IF(OR(AND(MONTH(A207)=1,DAY(A207)&gt;=3),MONTH(A207)=2,MONTH(A207)=3,MONTH(A207)=4,MONTH(A207)=10,MONTH(A207)=11,AND(MONTH(A207)=12,DAY(A207)&lt;=15)),"Nebensaison","Hauptsaison"))))</x:f>
        <x:v>Hauptsaison</x:v>
      </x:c>
      <x:c r="C207" s="122" t="str">
        <x:f>IF(A207="","",IF(WEEKDAY(A207,2)&gt;=6,"Wochenende","Unterwoche"))</x:f>
        <x:v>Unterwoche</x:v>
      </x:c>
      <x:c r="D207" s="123" t="n">
        <x:f>IF(A207="","",IF(N207&lt;&gt;"",N207,IF(B207="Nebensaison",IF(C207="Wochenende",'00_Eingabe'!$C$24,'00_Eingabe'!$B$24),IF(B207="Hauptsaison",IF(C207="Wochenende",'00_Eingabe'!$C$25,'00_Eingabe'!$B$25),IF(B207="Weihnachten",IF(C207="Wochenende",'00_Eingabe'!$C$26,'00_Eingabe'!$B$26),IF(C207="Wochenende",'00_Eingabe'!$C$27,'00_Eingabe'!$B$27))))))</x:f>
        <x:v>0.85</x:v>
      </x:c>
      <x:c r="E207" s="122" t="n">
        <x:f>IF(OR(A207="",D207=""),"",ROUND('00_Eingabe'!$B$8*D207,0))</x:f>
        <x:v>30</x:v>
      </x:c>
      <x:c r="F207" s="122" t="n">
        <x:f>IF(E207="","",ROUND(E207*'00_Eingabe'!$B$18,0))</x:f>
        <x:v>57</x:v>
      </x:c>
      <x:c r="G207" s="123" t="n">
        <x:f>IF(A207="","",IF(O207&lt;&gt;"",O207,IF(B207="Nebensaison",IF(C207="Wochenende",'00_Eingabe'!$E$24,'00_Eingabe'!$D$24),IF(B207="Hauptsaison",IF(C207="Wochenende",'00_Eingabe'!$E$25,'00_Eingabe'!$D$25),IF(B207="Weihnachten",IF(C207="Wochenende",'00_Eingabe'!$E$26,'00_Eingabe'!$D$26),IF(C207="Wochenende",'00_Eingabe'!$E$27,'00_Eingabe'!$D$27))))))</x:f>
        <x:v>0.85</x:v>
      </x:c>
      <x:c r="H207" s="122" t="n">
        <x:f>IF(OR(A207="",G207=""),"",ROUND('00_Eingabe'!$B$9*G207,0))</x:f>
        <x:v>3</x:v>
      </x:c>
      <x:c r="I207" s="122" t="n">
        <x:f>IF(H207="","",ROUND(H207*'00_Eingabe'!$B$19,0))</x:f>
        <x:v>7</x:v>
      </x:c>
      <x:c r="J207" s="122" t="n">
        <x:f>IF(OR(F207="",I207=""),"",F207+I207)</x:f>
        <x:v>64</x:v>
      </x:c>
      <x:c r="K207" s="122" t="n">
        <x:f>IF(J207="","",ROUND(J207*'00_Eingabe'!$B$16*(1+'00_Eingabe'!$B$14),0))</x:f>
        <x:v>74</x:v>
      </x:c>
      <x:c r="L207" s="122" t="n">
        <x:f>IF(B207="Betriebsferien",0,ROUND(J207*'00_Eingabe'!$B$40,0)+IF(C207="Wochenende",'00_Eingabe'!$B$42,'00_Eingabe'!$B$41))</x:f>
        <x:v>63</x:v>
      </x:c>
      <x:c r="M207" s="123" t="n">
        <x:f>IF(J207="","",ROUND(J207*'00_Eingabe'!$B$17*(1+'00_Eingabe'!$B$15),0))</x:f>
        <x:v>74</x:v>
      </x:c>
      <x:c r="N207" s="106"/>
      <x:c r="O207" s="106"/>
      <x:c r="P207" s="116"/>
      <x:c r="Q207" s="213" t="n">
        <x:f>IF(C207="Wochenende",1,0)</x:f>
        <x:v>0</x:v>
      </x:c>
      <x:c r="R207" s="213" t="n">
        <x:f>IF(AND(B207&lt;&gt;"Betriebsferien",OR(WEEKDAY(A207,2)=2,WEEKDAY(A207,2)=4)),1,0)</x:f>
        <x:v>0</x:v>
      </x:c>
      <x:c r="S207" s="214" t="n">
        <x:f>R207*MIN(1,'00_Eingabe'!$B$62/'00_Eingabe'!$B$61)</x:f>
        <x:v>0</x:v>
      </x:c>
      <x:c r="T207" s="213" t="n">
        <x:f>IF(B207="Betriebsferien",0,IF(B207="Nebensaison",IF(OR(WEEKDAY(A207,2)=1,WEEKDAY(A207,2)=3,WEEKDAY(A207,2)=5),1,0),IF(C207="Unterwoche",1,0)))</x:f>
        <x:v>1</x:v>
      </x:c>
      <x:c r="U207" s="213" t="n">
        <x:f>IF(B207="Betriebsferien",0,'00_Eingabe'!$G$24)</x:f>
        <x:v>8</x:v>
      </x:c>
    </x:row>
    <x:row r="208">
      <x:c r="A208" s="121" t="n">
        <x:f>IF(ROW()-4&lt;DATE('00_Eingabe'!$B$7+1,1,1)-DATE('00_Eingabe'!$B$7,1,1),DATE('00_Eingabe'!$B$7,1,1)+ROW()-4,"")</x:f>
        <x:v>45862</x:v>
      </x:c>
      <x:c r="B208" s="122" t="str">
        <x:f>IF(A208="","",IF(OR(AND(MONTH(A208)=12,DAY(A208)&gt;=20),AND(MONTH(A208)=1,DAY(A208)&lt;=2)),"Weihnachten",IF(OR(AND(MONTH(A208)=11,DAY(A208)&gt;=24),AND(MONTH(A208)=12,DAY(A208)&lt;=7)),"Betriebsferien",IF(OR(AND(MONTH(A208)=1,DAY(A208)&gt;=3),MONTH(A208)=2,MONTH(A208)=3,MONTH(A208)=4,MONTH(A208)=10,MONTH(A208)=11,AND(MONTH(A208)=12,DAY(A208)&lt;=15)),"Nebensaison","Hauptsaison"))))</x:f>
        <x:v>Hauptsaison</x:v>
      </x:c>
      <x:c r="C208" s="122" t="str">
        <x:f>IF(A208="","",IF(WEEKDAY(A208,2)&gt;=6,"Wochenende","Unterwoche"))</x:f>
        <x:v>Unterwoche</x:v>
      </x:c>
      <x:c r="D208" s="123" t="n">
        <x:f>IF(A208="","",IF(N208&lt;&gt;"",N208,IF(B208="Nebensaison",IF(C208="Wochenende",'00_Eingabe'!$C$24,'00_Eingabe'!$B$24),IF(B208="Hauptsaison",IF(C208="Wochenende",'00_Eingabe'!$C$25,'00_Eingabe'!$B$25),IF(B208="Weihnachten",IF(C208="Wochenende",'00_Eingabe'!$C$26,'00_Eingabe'!$B$26),IF(C208="Wochenende",'00_Eingabe'!$C$27,'00_Eingabe'!$B$27))))))</x:f>
        <x:v>0.85</x:v>
      </x:c>
      <x:c r="E208" s="122" t="n">
        <x:f>IF(OR(A208="",D208=""),"",ROUND('00_Eingabe'!$B$8*D208,0))</x:f>
        <x:v>30</x:v>
      </x:c>
      <x:c r="F208" s="122" t="n">
        <x:f>IF(E208="","",ROUND(E208*'00_Eingabe'!$B$18,0))</x:f>
        <x:v>57</x:v>
      </x:c>
      <x:c r="G208" s="123" t="n">
        <x:f>IF(A208="","",IF(O208&lt;&gt;"",O208,IF(B208="Nebensaison",IF(C208="Wochenende",'00_Eingabe'!$E$24,'00_Eingabe'!$D$24),IF(B208="Hauptsaison",IF(C208="Wochenende",'00_Eingabe'!$E$25,'00_Eingabe'!$D$25),IF(B208="Weihnachten",IF(C208="Wochenende",'00_Eingabe'!$E$26,'00_Eingabe'!$D$26),IF(C208="Wochenende",'00_Eingabe'!$E$27,'00_Eingabe'!$D$27))))))</x:f>
        <x:v>0.85</x:v>
      </x:c>
      <x:c r="H208" s="122" t="n">
        <x:f>IF(OR(A208="",G208=""),"",ROUND('00_Eingabe'!$B$9*G208,0))</x:f>
        <x:v>3</x:v>
      </x:c>
      <x:c r="I208" s="122" t="n">
        <x:f>IF(H208="","",ROUND(H208*'00_Eingabe'!$B$19,0))</x:f>
        <x:v>7</x:v>
      </x:c>
      <x:c r="J208" s="122" t="n">
        <x:f>IF(OR(F208="",I208=""),"",F208+I208)</x:f>
        <x:v>64</x:v>
      </x:c>
      <x:c r="K208" s="122" t="n">
        <x:f>IF(J208="","",ROUND(J208*'00_Eingabe'!$B$16*(1+'00_Eingabe'!$B$14),0))</x:f>
        <x:v>74</x:v>
      </x:c>
      <x:c r="L208" s="122" t="n">
        <x:f>IF(B208="Betriebsferien",0,ROUND(J208*'00_Eingabe'!$B$40,0)+IF(C208="Wochenende",'00_Eingabe'!$B$42,'00_Eingabe'!$B$41))</x:f>
        <x:v>63</x:v>
      </x:c>
      <x:c r="M208" s="123" t="n">
        <x:f>IF(J208="","",ROUND(J208*'00_Eingabe'!$B$17*(1+'00_Eingabe'!$B$15),0))</x:f>
        <x:v>74</x:v>
      </x:c>
      <x:c r="N208" s="106"/>
      <x:c r="O208" s="106"/>
      <x:c r="P208" s="116"/>
      <x:c r="Q208" s="213" t="n">
        <x:f>IF(C208="Wochenende",1,0)</x:f>
        <x:v>0</x:v>
      </x:c>
      <x:c r="R208" s="213" t="n">
        <x:f>IF(AND(B208&lt;&gt;"Betriebsferien",OR(WEEKDAY(A208,2)=2,WEEKDAY(A208,2)=4)),1,0)</x:f>
        <x:v>1</x:v>
      </x:c>
      <x:c r="S208" s="214" t="n">
        <x:f>R208*MIN(1,'00_Eingabe'!$B$62/'00_Eingabe'!$B$61)</x:f>
        <x:v>0.5</x:v>
      </x:c>
      <x:c r="T208" s="213" t="n">
        <x:f>IF(B208="Betriebsferien",0,IF(B208="Nebensaison",IF(OR(WEEKDAY(A208,2)=1,WEEKDAY(A208,2)=3,WEEKDAY(A208,2)=5),1,0),IF(C208="Unterwoche",1,0)))</x:f>
        <x:v>1</x:v>
      </x:c>
      <x:c r="U208" s="213" t="n">
        <x:f>IF(B208="Betriebsferien",0,'00_Eingabe'!$G$24)</x:f>
        <x:v>8</x:v>
      </x:c>
    </x:row>
    <x:row r="209">
      <x:c r="A209" s="121" t="n">
        <x:f>IF(ROW()-4&lt;DATE('00_Eingabe'!$B$7+1,1,1)-DATE('00_Eingabe'!$B$7,1,1),DATE('00_Eingabe'!$B$7,1,1)+ROW()-4,"")</x:f>
        <x:v>45863</x:v>
      </x:c>
      <x:c r="B209" s="122" t="str">
        <x:f>IF(A209="","",IF(OR(AND(MONTH(A209)=12,DAY(A209)&gt;=20),AND(MONTH(A209)=1,DAY(A209)&lt;=2)),"Weihnachten",IF(OR(AND(MONTH(A209)=11,DAY(A209)&gt;=24),AND(MONTH(A209)=12,DAY(A209)&lt;=7)),"Betriebsferien",IF(OR(AND(MONTH(A209)=1,DAY(A209)&gt;=3),MONTH(A209)=2,MONTH(A209)=3,MONTH(A209)=4,MONTH(A209)=10,MONTH(A209)=11,AND(MONTH(A209)=12,DAY(A209)&lt;=15)),"Nebensaison","Hauptsaison"))))</x:f>
        <x:v>Hauptsaison</x:v>
      </x:c>
      <x:c r="C209" s="122" t="str">
        <x:f>IF(A209="","",IF(WEEKDAY(A209,2)&gt;=6,"Wochenende","Unterwoche"))</x:f>
        <x:v>Unterwoche</x:v>
      </x:c>
      <x:c r="D209" s="123" t="n">
        <x:f>IF(A209="","",IF(N209&lt;&gt;"",N209,IF(B209="Nebensaison",IF(C209="Wochenende",'00_Eingabe'!$C$24,'00_Eingabe'!$B$24),IF(B209="Hauptsaison",IF(C209="Wochenende",'00_Eingabe'!$C$25,'00_Eingabe'!$B$25),IF(B209="Weihnachten",IF(C209="Wochenende",'00_Eingabe'!$C$26,'00_Eingabe'!$B$26),IF(C209="Wochenende",'00_Eingabe'!$C$27,'00_Eingabe'!$B$27))))))</x:f>
        <x:v>0.85</x:v>
      </x:c>
      <x:c r="E209" s="122" t="n">
        <x:f>IF(OR(A209="",D209=""),"",ROUND('00_Eingabe'!$B$8*D209,0))</x:f>
        <x:v>30</x:v>
      </x:c>
      <x:c r="F209" s="122" t="n">
        <x:f>IF(E209="","",ROUND(E209*'00_Eingabe'!$B$18,0))</x:f>
        <x:v>57</x:v>
      </x:c>
      <x:c r="G209" s="123" t="n">
        <x:f>IF(A209="","",IF(O209&lt;&gt;"",O209,IF(B209="Nebensaison",IF(C209="Wochenende",'00_Eingabe'!$E$24,'00_Eingabe'!$D$24),IF(B209="Hauptsaison",IF(C209="Wochenende",'00_Eingabe'!$E$25,'00_Eingabe'!$D$25),IF(B209="Weihnachten",IF(C209="Wochenende",'00_Eingabe'!$E$26,'00_Eingabe'!$D$26),IF(C209="Wochenende",'00_Eingabe'!$E$27,'00_Eingabe'!$D$27))))))</x:f>
        <x:v>0.85</x:v>
      </x:c>
      <x:c r="H209" s="122" t="n">
        <x:f>IF(OR(A209="",G209=""),"",ROUND('00_Eingabe'!$B$9*G209,0))</x:f>
        <x:v>3</x:v>
      </x:c>
      <x:c r="I209" s="122" t="n">
        <x:f>IF(H209="","",ROUND(H209*'00_Eingabe'!$B$19,0))</x:f>
        <x:v>7</x:v>
      </x:c>
      <x:c r="J209" s="122" t="n">
        <x:f>IF(OR(F209="",I209=""),"",F209+I209)</x:f>
        <x:v>64</x:v>
      </x:c>
      <x:c r="K209" s="122" t="n">
        <x:f>IF(J209="","",ROUND(J209*'00_Eingabe'!$B$16*(1+'00_Eingabe'!$B$14),0))</x:f>
        <x:v>74</x:v>
      </x:c>
      <x:c r="L209" s="122" t="n">
        <x:f>IF(B209="Betriebsferien",0,ROUND(J209*'00_Eingabe'!$B$40,0)+IF(C209="Wochenende",'00_Eingabe'!$B$42,'00_Eingabe'!$B$41))</x:f>
        <x:v>63</x:v>
      </x:c>
      <x:c r="M209" s="123" t="n">
        <x:f>IF(J209="","",ROUND(J209*'00_Eingabe'!$B$17*(1+'00_Eingabe'!$B$15),0))</x:f>
        <x:v>74</x:v>
      </x:c>
      <x:c r="N209" s="106"/>
      <x:c r="O209" s="106"/>
      <x:c r="P209" s="116"/>
      <x:c r="Q209" s="213" t="n">
        <x:f>IF(C209="Wochenende",1,0)</x:f>
        <x:v>0</x:v>
      </x:c>
      <x:c r="R209" s="213" t="n">
        <x:f>IF(AND(B209&lt;&gt;"Betriebsferien",OR(WEEKDAY(A209,2)=2,WEEKDAY(A209,2)=4)),1,0)</x:f>
        <x:v>0</x:v>
      </x:c>
      <x:c r="S209" s="214" t="n">
        <x:f>R209*MIN(1,'00_Eingabe'!$B$62/'00_Eingabe'!$B$61)</x:f>
        <x:v>0</x:v>
      </x:c>
      <x:c r="T209" s="213" t="n">
        <x:f>IF(B209="Betriebsferien",0,IF(B209="Nebensaison",IF(OR(WEEKDAY(A209,2)=1,WEEKDAY(A209,2)=3,WEEKDAY(A209,2)=5),1,0),IF(C209="Unterwoche",1,0)))</x:f>
        <x:v>1</x:v>
      </x:c>
      <x:c r="U209" s="213" t="n">
        <x:f>IF(B209="Betriebsferien",0,'00_Eingabe'!$G$24)</x:f>
        <x:v>8</x:v>
      </x:c>
    </x:row>
    <x:row r="210">
      <x:c r="A210" s="121" t="n">
        <x:f>IF(ROW()-4&lt;DATE('00_Eingabe'!$B$7+1,1,1)-DATE('00_Eingabe'!$B$7,1,1),DATE('00_Eingabe'!$B$7,1,1)+ROW()-4,"")</x:f>
        <x:v>45864</x:v>
      </x:c>
      <x:c r="B210" s="122" t="str">
        <x:f>IF(A210="","",IF(OR(AND(MONTH(A210)=12,DAY(A210)&gt;=20),AND(MONTH(A210)=1,DAY(A210)&lt;=2)),"Weihnachten",IF(OR(AND(MONTH(A210)=11,DAY(A210)&gt;=24),AND(MONTH(A210)=12,DAY(A210)&lt;=7)),"Betriebsferien",IF(OR(AND(MONTH(A210)=1,DAY(A210)&gt;=3),MONTH(A210)=2,MONTH(A210)=3,MONTH(A210)=4,MONTH(A210)=10,MONTH(A210)=11,AND(MONTH(A210)=12,DAY(A210)&lt;=15)),"Nebensaison","Hauptsaison"))))</x:f>
        <x:v>Hauptsaison</x:v>
      </x:c>
      <x:c r="C210" s="122" t="str">
        <x:f>IF(A210="","",IF(WEEKDAY(A210,2)&gt;=6,"Wochenende","Unterwoche"))</x:f>
        <x:v>Wochenende</x:v>
      </x:c>
      <x:c r="D210" s="123" t="n">
        <x:f>IF(A210="","",IF(N210&lt;&gt;"",N210,IF(B210="Nebensaison",IF(C210="Wochenende",'00_Eingabe'!$C$24,'00_Eingabe'!$B$24),IF(B210="Hauptsaison",IF(C210="Wochenende",'00_Eingabe'!$C$25,'00_Eingabe'!$B$25),IF(B210="Weihnachten",IF(C210="Wochenende",'00_Eingabe'!$C$26,'00_Eingabe'!$B$26),IF(C210="Wochenende",'00_Eingabe'!$C$27,'00_Eingabe'!$B$27))))))</x:f>
        <x:v>0.9</x:v>
      </x:c>
      <x:c r="E210" s="122" t="n">
        <x:f>IF(OR(A210="",D210=""),"",ROUND('00_Eingabe'!$B$8*D210,0))</x:f>
        <x:v>32</x:v>
      </x:c>
      <x:c r="F210" s="122" t="n">
        <x:f>IF(E210="","",ROUND(E210*'00_Eingabe'!$B$18,0))</x:f>
        <x:v>61</x:v>
      </x:c>
      <x:c r="G210" s="123" t="n">
        <x:f>IF(A210="","",IF(O210&lt;&gt;"",O210,IF(B210="Nebensaison",IF(C210="Wochenende",'00_Eingabe'!$E$24,'00_Eingabe'!$D$24),IF(B210="Hauptsaison",IF(C210="Wochenende",'00_Eingabe'!$E$25,'00_Eingabe'!$D$25),IF(B210="Weihnachten",IF(C210="Wochenende",'00_Eingabe'!$E$26,'00_Eingabe'!$D$26),IF(C210="Wochenende",'00_Eingabe'!$E$27,'00_Eingabe'!$D$27))))))</x:f>
        <x:v>0.9</x:v>
      </x:c>
      <x:c r="H210" s="122" t="n">
        <x:f>IF(OR(A210="",G210=""),"",ROUND('00_Eingabe'!$B$9*G210,0))</x:f>
        <x:v>4</x:v>
      </x:c>
      <x:c r="I210" s="122" t="n">
        <x:f>IF(H210="","",ROUND(H210*'00_Eingabe'!$B$19,0))</x:f>
        <x:v>9</x:v>
      </x:c>
      <x:c r="J210" s="122" t="n">
        <x:f>IF(OR(F210="",I210=""),"",F210+I210)</x:f>
        <x:v>70</x:v>
      </x:c>
      <x:c r="K210" s="122" t="n">
        <x:f>IF(J210="","",ROUND(J210*'00_Eingabe'!$B$16*(1+'00_Eingabe'!$B$14),0))</x:f>
        <x:v>81</x:v>
      </x:c>
      <x:c r="L210" s="122" t="n">
        <x:f>IF(B210="Betriebsferien",0,ROUND(J210*'00_Eingabe'!$B$40,0)+IF(C210="Wochenende",'00_Eingabe'!$B$42,'00_Eingabe'!$B$41))</x:f>
        <x:v>93</x:v>
      </x:c>
      <x:c r="M210" s="123" t="n">
        <x:f>IF(J210="","",ROUND(J210*'00_Eingabe'!$B$17*(1+'00_Eingabe'!$B$15),0))</x:f>
        <x:v>81</x:v>
      </x:c>
      <x:c r="N210" s="106"/>
      <x:c r="O210" s="106"/>
      <x:c r="P210" s="116"/>
      <x:c r="Q210" s="213" t="n">
        <x:f>IF(C210="Wochenende",1,0)</x:f>
        <x:v>1</x:v>
      </x:c>
      <x:c r="R210" s="213" t="n">
        <x:f>IF(AND(B210&lt;&gt;"Betriebsferien",OR(WEEKDAY(A210,2)=2,WEEKDAY(A210,2)=4)),1,0)</x:f>
        <x:v>0</x:v>
      </x:c>
      <x:c r="S210" s="214" t="n">
        <x:f>R210*MIN(1,'00_Eingabe'!$B$62/'00_Eingabe'!$B$61)</x:f>
        <x:v>0</x:v>
      </x:c>
      <x:c r="T210" s="213" t="n">
        <x:f>IF(B210="Betriebsferien",0,IF(B210="Nebensaison",IF(OR(WEEKDAY(A210,2)=1,WEEKDAY(A210,2)=3,WEEKDAY(A210,2)=5),1,0),IF(C210="Unterwoche",1,0)))</x:f>
        <x:v>0</x:v>
      </x:c>
      <x:c r="U210" s="213" t="n">
        <x:f>IF(B210="Betriebsferien",0,'00_Eingabe'!$G$24)</x:f>
        <x:v>8</x:v>
      </x:c>
    </x:row>
    <x:row r="211">
      <x:c r="A211" s="121" t="n">
        <x:f>IF(ROW()-4&lt;DATE('00_Eingabe'!$B$7+1,1,1)-DATE('00_Eingabe'!$B$7,1,1),DATE('00_Eingabe'!$B$7,1,1)+ROW()-4,"")</x:f>
        <x:v>45865</x:v>
      </x:c>
      <x:c r="B211" s="122" t="str">
        <x:f>IF(A211="","",IF(OR(AND(MONTH(A211)=12,DAY(A211)&gt;=20),AND(MONTH(A211)=1,DAY(A211)&lt;=2)),"Weihnachten",IF(OR(AND(MONTH(A211)=11,DAY(A211)&gt;=24),AND(MONTH(A211)=12,DAY(A211)&lt;=7)),"Betriebsferien",IF(OR(AND(MONTH(A211)=1,DAY(A211)&gt;=3),MONTH(A211)=2,MONTH(A211)=3,MONTH(A211)=4,MONTH(A211)=10,MONTH(A211)=11,AND(MONTH(A211)=12,DAY(A211)&lt;=15)),"Nebensaison","Hauptsaison"))))</x:f>
        <x:v>Hauptsaison</x:v>
      </x:c>
      <x:c r="C211" s="122" t="str">
        <x:f>IF(A211="","",IF(WEEKDAY(A211,2)&gt;=6,"Wochenende","Unterwoche"))</x:f>
        <x:v>Wochenende</x:v>
      </x:c>
      <x:c r="D211" s="123" t="n">
        <x:f>IF(A211="","",IF(N211&lt;&gt;"",N211,IF(B211="Nebensaison",IF(C211="Wochenende",'00_Eingabe'!$C$24,'00_Eingabe'!$B$24),IF(B211="Hauptsaison",IF(C211="Wochenende",'00_Eingabe'!$C$25,'00_Eingabe'!$B$25),IF(B211="Weihnachten",IF(C211="Wochenende",'00_Eingabe'!$C$26,'00_Eingabe'!$B$26),IF(C211="Wochenende",'00_Eingabe'!$C$27,'00_Eingabe'!$B$27))))))</x:f>
        <x:v>0.9</x:v>
      </x:c>
      <x:c r="E211" s="122" t="n">
        <x:f>IF(OR(A211="",D211=""),"",ROUND('00_Eingabe'!$B$8*D211,0))</x:f>
        <x:v>32</x:v>
      </x:c>
      <x:c r="F211" s="122" t="n">
        <x:f>IF(E211="","",ROUND(E211*'00_Eingabe'!$B$18,0))</x:f>
        <x:v>61</x:v>
      </x:c>
      <x:c r="G211" s="123" t="n">
        <x:f>IF(A211="","",IF(O211&lt;&gt;"",O211,IF(B211="Nebensaison",IF(C211="Wochenende",'00_Eingabe'!$E$24,'00_Eingabe'!$D$24),IF(B211="Hauptsaison",IF(C211="Wochenende",'00_Eingabe'!$E$25,'00_Eingabe'!$D$25),IF(B211="Weihnachten",IF(C211="Wochenende",'00_Eingabe'!$E$26,'00_Eingabe'!$D$26),IF(C211="Wochenende",'00_Eingabe'!$E$27,'00_Eingabe'!$D$27))))))</x:f>
        <x:v>0.9</x:v>
      </x:c>
      <x:c r="H211" s="122" t="n">
        <x:f>IF(OR(A211="",G211=""),"",ROUND('00_Eingabe'!$B$9*G211,0))</x:f>
        <x:v>4</x:v>
      </x:c>
      <x:c r="I211" s="122" t="n">
        <x:f>IF(H211="","",ROUND(H211*'00_Eingabe'!$B$19,0))</x:f>
        <x:v>9</x:v>
      </x:c>
      <x:c r="J211" s="122" t="n">
        <x:f>IF(OR(F211="",I211=""),"",F211+I211)</x:f>
        <x:v>70</x:v>
      </x:c>
      <x:c r="K211" s="122" t="n">
        <x:f>IF(J211="","",ROUND(J211*'00_Eingabe'!$B$16*(1+'00_Eingabe'!$B$14),0))</x:f>
        <x:v>81</x:v>
      </x:c>
      <x:c r="L211" s="122" t="n">
        <x:f>IF(B211="Betriebsferien",0,ROUND(J211*'00_Eingabe'!$B$40,0)+IF(C211="Wochenende",'00_Eingabe'!$B$42,'00_Eingabe'!$B$41))</x:f>
        <x:v>93</x:v>
      </x:c>
      <x:c r="M211" s="123" t="n">
        <x:f>IF(J211="","",ROUND(J211*'00_Eingabe'!$B$17*(1+'00_Eingabe'!$B$15),0))</x:f>
        <x:v>81</x:v>
      </x:c>
      <x:c r="N211" s="106"/>
      <x:c r="O211" s="106"/>
      <x:c r="P211" s="116"/>
      <x:c r="Q211" s="213" t="n">
        <x:f>IF(C211="Wochenende",1,0)</x:f>
        <x:v>1</x:v>
      </x:c>
      <x:c r="R211" s="213" t="n">
        <x:f>IF(AND(B211&lt;&gt;"Betriebsferien",OR(WEEKDAY(A211,2)=2,WEEKDAY(A211,2)=4)),1,0)</x:f>
        <x:v>0</x:v>
      </x:c>
      <x:c r="S211" s="214" t="n">
        <x:f>R211*MIN(1,'00_Eingabe'!$B$62/'00_Eingabe'!$B$61)</x:f>
        <x:v>0</x:v>
      </x:c>
      <x:c r="T211" s="213" t="n">
        <x:f>IF(B211="Betriebsferien",0,IF(B211="Nebensaison",IF(OR(WEEKDAY(A211,2)=1,WEEKDAY(A211,2)=3,WEEKDAY(A211,2)=5),1,0),IF(C211="Unterwoche",1,0)))</x:f>
        <x:v>0</x:v>
      </x:c>
      <x:c r="U211" s="213" t="n">
        <x:f>IF(B211="Betriebsferien",0,'00_Eingabe'!$G$24)</x:f>
        <x:v>8</x:v>
      </x:c>
    </x:row>
    <x:row r="212">
      <x:c r="A212" s="121" t="n">
        <x:f>IF(ROW()-4&lt;DATE('00_Eingabe'!$B$7+1,1,1)-DATE('00_Eingabe'!$B$7,1,1),DATE('00_Eingabe'!$B$7,1,1)+ROW()-4,"")</x:f>
        <x:v>45866</x:v>
      </x:c>
      <x:c r="B212" s="122" t="str">
        <x:f>IF(A212="","",IF(OR(AND(MONTH(A212)=12,DAY(A212)&gt;=20),AND(MONTH(A212)=1,DAY(A212)&lt;=2)),"Weihnachten",IF(OR(AND(MONTH(A212)=11,DAY(A212)&gt;=24),AND(MONTH(A212)=12,DAY(A212)&lt;=7)),"Betriebsferien",IF(OR(AND(MONTH(A212)=1,DAY(A212)&gt;=3),MONTH(A212)=2,MONTH(A212)=3,MONTH(A212)=4,MONTH(A212)=10,MONTH(A212)=11,AND(MONTH(A212)=12,DAY(A212)&lt;=15)),"Nebensaison","Hauptsaison"))))</x:f>
        <x:v>Hauptsaison</x:v>
      </x:c>
      <x:c r="C212" s="122" t="str">
        <x:f>IF(A212="","",IF(WEEKDAY(A212,2)&gt;=6,"Wochenende","Unterwoche"))</x:f>
        <x:v>Unterwoche</x:v>
      </x:c>
      <x:c r="D212" s="123" t="n">
        <x:f>IF(A212="","",IF(N212&lt;&gt;"",N212,IF(B212="Nebensaison",IF(C212="Wochenende",'00_Eingabe'!$C$24,'00_Eingabe'!$B$24),IF(B212="Hauptsaison",IF(C212="Wochenende",'00_Eingabe'!$C$25,'00_Eingabe'!$B$25),IF(B212="Weihnachten",IF(C212="Wochenende",'00_Eingabe'!$C$26,'00_Eingabe'!$B$26),IF(C212="Wochenende",'00_Eingabe'!$C$27,'00_Eingabe'!$B$27))))))</x:f>
        <x:v>0.85</x:v>
      </x:c>
      <x:c r="E212" s="122" t="n">
        <x:f>IF(OR(A212="",D212=""),"",ROUND('00_Eingabe'!$B$8*D212,0))</x:f>
        <x:v>30</x:v>
      </x:c>
      <x:c r="F212" s="122" t="n">
        <x:f>IF(E212="","",ROUND(E212*'00_Eingabe'!$B$18,0))</x:f>
        <x:v>57</x:v>
      </x:c>
      <x:c r="G212" s="123" t="n">
        <x:f>IF(A212="","",IF(O212&lt;&gt;"",O212,IF(B212="Nebensaison",IF(C212="Wochenende",'00_Eingabe'!$E$24,'00_Eingabe'!$D$24),IF(B212="Hauptsaison",IF(C212="Wochenende",'00_Eingabe'!$E$25,'00_Eingabe'!$D$25),IF(B212="Weihnachten",IF(C212="Wochenende",'00_Eingabe'!$E$26,'00_Eingabe'!$D$26),IF(C212="Wochenende",'00_Eingabe'!$E$27,'00_Eingabe'!$D$27))))))</x:f>
        <x:v>0.85</x:v>
      </x:c>
      <x:c r="H212" s="122" t="n">
        <x:f>IF(OR(A212="",G212=""),"",ROUND('00_Eingabe'!$B$9*G212,0))</x:f>
        <x:v>3</x:v>
      </x:c>
      <x:c r="I212" s="122" t="n">
        <x:f>IF(H212="","",ROUND(H212*'00_Eingabe'!$B$19,0))</x:f>
        <x:v>7</x:v>
      </x:c>
      <x:c r="J212" s="122" t="n">
        <x:f>IF(OR(F212="",I212=""),"",F212+I212)</x:f>
        <x:v>64</x:v>
      </x:c>
      <x:c r="K212" s="122" t="n">
        <x:f>IF(J212="","",ROUND(J212*'00_Eingabe'!$B$16*(1+'00_Eingabe'!$B$14),0))</x:f>
        <x:v>74</x:v>
      </x:c>
      <x:c r="L212" s="122" t="n">
        <x:f>IF(B212="Betriebsferien",0,ROUND(J212*'00_Eingabe'!$B$40,0)+IF(C212="Wochenende",'00_Eingabe'!$B$42,'00_Eingabe'!$B$41))</x:f>
        <x:v>63</x:v>
      </x:c>
      <x:c r="M212" s="123" t="n">
        <x:f>IF(J212="","",ROUND(J212*'00_Eingabe'!$B$17*(1+'00_Eingabe'!$B$15),0))</x:f>
        <x:v>74</x:v>
      </x:c>
      <x:c r="N212" s="106"/>
      <x:c r="O212" s="106"/>
      <x:c r="P212" s="116"/>
      <x:c r="Q212" s="213" t="n">
        <x:f>IF(C212="Wochenende",1,0)</x:f>
        <x:v>0</x:v>
      </x:c>
      <x:c r="R212" s="213" t="n">
        <x:f>IF(AND(B212&lt;&gt;"Betriebsferien",OR(WEEKDAY(A212,2)=2,WEEKDAY(A212,2)=4)),1,0)</x:f>
        <x:v>0</x:v>
      </x:c>
      <x:c r="S212" s="214" t="n">
        <x:f>R212*MIN(1,'00_Eingabe'!$B$62/'00_Eingabe'!$B$61)</x:f>
        <x:v>0</x:v>
      </x:c>
      <x:c r="T212" s="213" t="n">
        <x:f>IF(B212="Betriebsferien",0,IF(B212="Nebensaison",IF(OR(WEEKDAY(A212,2)=1,WEEKDAY(A212,2)=3,WEEKDAY(A212,2)=5),1,0),IF(C212="Unterwoche",1,0)))</x:f>
        <x:v>1</x:v>
      </x:c>
      <x:c r="U212" s="213" t="n">
        <x:f>IF(B212="Betriebsferien",0,'00_Eingabe'!$G$24)</x:f>
        <x:v>8</x:v>
      </x:c>
    </x:row>
    <x:row r="213">
      <x:c r="A213" s="121" t="n">
        <x:f>IF(ROW()-4&lt;DATE('00_Eingabe'!$B$7+1,1,1)-DATE('00_Eingabe'!$B$7,1,1),DATE('00_Eingabe'!$B$7,1,1)+ROW()-4,"")</x:f>
        <x:v>45867</x:v>
      </x:c>
      <x:c r="B213" s="122" t="str">
        <x:f>IF(A213="","",IF(OR(AND(MONTH(A213)=12,DAY(A213)&gt;=20),AND(MONTH(A213)=1,DAY(A213)&lt;=2)),"Weihnachten",IF(OR(AND(MONTH(A213)=11,DAY(A213)&gt;=24),AND(MONTH(A213)=12,DAY(A213)&lt;=7)),"Betriebsferien",IF(OR(AND(MONTH(A213)=1,DAY(A213)&gt;=3),MONTH(A213)=2,MONTH(A213)=3,MONTH(A213)=4,MONTH(A213)=10,MONTH(A213)=11,AND(MONTH(A213)=12,DAY(A213)&lt;=15)),"Nebensaison","Hauptsaison"))))</x:f>
        <x:v>Hauptsaison</x:v>
      </x:c>
      <x:c r="C213" s="122" t="str">
        <x:f>IF(A213="","",IF(WEEKDAY(A213,2)&gt;=6,"Wochenende","Unterwoche"))</x:f>
        <x:v>Unterwoche</x:v>
      </x:c>
      <x:c r="D213" s="123" t="n">
        <x:f>IF(A213="","",IF(N213&lt;&gt;"",N213,IF(B213="Nebensaison",IF(C213="Wochenende",'00_Eingabe'!$C$24,'00_Eingabe'!$B$24),IF(B213="Hauptsaison",IF(C213="Wochenende",'00_Eingabe'!$C$25,'00_Eingabe'!$B$25),IF(B213="Weihnachten",IF(C213="Wochenende",'00_Eingabe'!$C$26,'00_Eingabe'!$B$26),IF(C213="Wochenende",'00_Eingabe'!$C$27,'00_Eingabe'!$B$27))))))</x:f>
        <x:v>0.85</x:v>
      </x:c>
      <x:c r="E213" s="122" t="n">
        <x:f>IF(OR(A213="",D213=""),"",ROUND('00_Eingabe'!$B$8*D213,0))</x:f>
        <x:v>30</x:v>
      </x:c>
      <x:c r="F213" s="122" t="n">
        <x:f>IF(E213="","",ROUND(E213*'00_Eingabe'!$B$18,0))</x:f>
        <x:v>57</x:v>
      </x:c>
      <x:c r="G213" s="123" t="n">
        <x:f>IF(A213="","",IF(O213&lt;&gt;"",O213,IF(B213="Nebensaison",IF(C213="Wochenende",'00_Eingabe'!$E$24,'00_Eingabe'!$D$24),IF(B213="Hauptsaison",IF(C213="Wochenende",'00_Eingabe'!$E$25,'00_Eingabe'!$D$25),IF(B213="Weihnachten",IF(C213="Wochenende",'00_Eingabe'!$E$26,'00_Eingabe'!$D$26),IF(C213="Wochenende",'00_Eingabe'!$E$27,'00_Eingabe'!$D$27))))))</x:f>
        <x:v>0.85</x:v>
      </x:c>
      <x:c r="H213" s="122" t="n">
        <x:f>IF(OR(A213="",G213=""),"",ROUND('00_Eingabe'!$B$9*G213,0))</x:f>
        <x:v>3</x:v>
      </x:c>
      <x:c r="I213" s="122" t="n">
        <x:f>IF(H213="","",ROUND(H213*'00_Eingabe'!$B$19,0))</x:f>
        <x:v>7</x:v>
      </x:c>
      <x:c r="J213" s="122" t="n">
        <x:f>IF(OR(F213="",I213=""),"",F213+I213)</x:f>
        <x:v>64</x:v>
      </x:c>
      <x:c r="K213" s="122" t="n">
        <x:f>IF(J213="","",ROUND(J213*'00_Eingabe'!$B$16*(1+'00_Eingabe'!$B$14),0))</x:f>
        <x:v>74</x:v>
      </x:c>
      <x:c r="L213" s="122" t="n">
        <x:f>IF(B213="Betriebsferien",0,ROUND(J213*'00_Eingabe'!$B$40,0)+IF(C213="Wochenende",'00_Eingabe'!$B$42,'00_Eingabe'!$B$41))</x:f>
        <x:v>63</x:v>
      </x:c>
      <x:c r="M213" s="123" t="n">
        <x:f>IF(J213="","",ROUND(J213*'00_Eingabe'!$B$17*(1+'00_Eingabe'!$B$15),0))</x:f>
        <x:v>74</x:v>
      </x:c>
      <x:c r="N213" s="106"/>
      <x:c r="O213" s="106"/>
      <x:c r="P213" s="116"/>
      <x:c r="Q213" s="213" t="n">
        <x:f>IF(C213="Wochenende",1,0)</x:f>
        <x:v>0</x:v>
      </x:c>
      <x:c r="R213" s="213" t="n">
        <x:f>IF(AND(B213&lt;&gt;"Betriebsferien",OR(WEEKDAY(A213,2)=2,WEEKDAY(A213,2)=4)),1,0)</x:f>
        <x:v>1</x:v>
      </x:c>
      <x:c r="S213" s="214" t="n">
        <x:f>R213*MIN(1,'00_Eingabe'!$B$62/'00_Eingabe'!$B$61)</x:f>
        <x:v>0.5</x:v>
      </x:c>
      <x:c r="T213" s="213" t="n">
        <x:f>IF(B213="Betriebsferien",0,IF(B213="Nebensaison",IF(OR(WEEKDAY(A213,2)=1,WEEKDAY(A213,2)=3,WEEKDAY(A213,2)=5),1,0),IF(C213="Unterwoche",1,0)))</x:f>
        <x:v>1</x:v>
      </x:c>
      <x:c r="U213" s="213" t="n">
        <x:f>IF(B213="Betriebsferien",0,'00_Eingabe'!$G$24)</x:f>
        <x:v>8</x:v>
      </x:c>
    </x:row>
    <x:row r="214">
      <x:c r="A214" s="121" t="n">
        <x:f>IF(ROW()-4&lt;DATE('00_Eingabe'!$B$7+1,1,1)-DATE('00_Eingabe'!$B$7,1,1),DATE('00_Eingabe'!$B$7,1,1)+ROW()-4,"")</x:f>
        <x:v>45868</x:v>
      </x:c>
      <x:c r="B214" s="122" t="str">
        <x:f>IF(A214="","",IF(OR(AND(MONTH(A214)=12,DAY(A214)&gt;=20),AND(MONTH(A214)=1,DAY(A214)&lt;=2)),"Weihnachten",IF(OR(AND(MONTH(A214)=11,DAY(A214)&gt;=24),AND(MONTH(A214)=12,DAY(A214)&lt;=7)),"Betriebsferien",IF(OR(AND(MONTH(A214)=1,DAY(A214)&gt;=3),MONTH(A214)=2,MONTH(A214)=3,MONTH(A214)=4,MONTH(A214)=10,MONTH(A214)=11,AND(MONTH(A214)=12,DAY(A214)&lt;=15)),"Nebensaison","Hauptsaison"))))</x:f>
        <x:v>Hauptsaison</x:v>
      </x:c>
      <x:c r="C214" s="122" t="str">
        <x:f>IF(A214="","",IF(WEEKDAY(A214,2)&gt;=6,"Wochenende","Unterwoche"))</x:f>
        <x:v>Unterwoche</x:v>
      </x:c>
      <x:c r="D214" s="123" t="n">
        <x:f>IF(A214="","",IF(N214&lt;&gt;"",N214,IF(B214="Nebensaison",IF(C214="Wochenende",'00_Eingabe'!$C$24,'00_Eingabe'!$B$24),IF(B214="Hauptsaison",IF(C214="Wochenende",'00_Eingabe'!$C$25,'00_Eingabe'!$B$25),IF(B214="Weihnachten",IF(C214="Wochenende",'00_Eingabe'!$C$26,'00_Eingabe'!$B$26),IF(C214="Wochenende",'00_Eingabe'!$C$27,'00_Eingabe'!$B$27))))))</x:f>
        <x:v>0.85</x:v>
      </x:c>
      <x:c r="E214" s="122" t="n">
        <x:f>IF(OR(A214="",D214=""),"",ROUND('00_Eingabe'!$B$8*D214,0))</x:f>
        <x:v>30</x:v>
      </x:c>
      <x:c r="F214" s="122" t="n">
        <x:f>IF(E214="","",ROUND(E214*'00_Eingabe'!$B$18,0))</x:f>
        <x:v>57</x:v>
      </x:c>
      <x:c r="G214" s="123" t="n">
        <x:f>IF(A214="","",IF(O214&lt;&gt;"",O214,IF(B214="Nebensaison",IF(C214="Wochenende",'00_Eingabe'!$E$24,'00_Eingabe'!$D$24),IF(B214="Hauptsaison",IF(C214="Wochenende",'00_Eingabe'!$E$25,'00_Eingabe'!$D$25),IF(B214="Weihnachten",IF(C214="Wochenende",'00_Eingabe'!$E$26,'00_Eingabe'!$D$26),IF(C214="Wochenende",'00_Eingabe'!$E$27,'00_Eingabe'!$D$27))))))</x:f>
        <x:v>0.85</x:v>
      </x:c>
      <x:c r="H214" s="122" t="n">
        <x:f>IF(OR(A214="",G214=""),"",ROUND('00_Eingabe'!$B$9*G214,0))</x:f>
        <x:v>3</x:v>
      </x:c>
      <x:c r="I214" s="122" t="n">
        <x:f>IF(H214="","",ROUND(H214*'00_Eingabe'!$B$19,0))</x:f>
        <x:v>7</x:v>
      </x:c>
      <x:c r="J214" s="122" t="n">
        <x:f>IF(OR(F214="",I214=""),"",F214+I214)</x:f>
        <x:v>64</x:v>
      </x:c>
      <x:c r="K214" s="122" t="n">
        <x:f>IF(J214="","",ROUND(J214*'00_Eingabe'!$B$16*(1+'00_Eingabe'!$B$14),0))</x:f>
        <x:v>74</x:v>
      </x:c>
      <x:c r="L214" s="122" t="n">
        <x:f>IF(B214="Betriebsferien",0,ROUND(J214*'00_Eingabe'!$B$40,0)+IF(C214="Wochenende",'00_Eingabe'!$B$42,'00_Eingabe'!$B$41))</x:f>
        <x:v>63</x:v>
      </x:c>
      <x:c r="M214" s="123" t="n">
        <x:f>IF(J214="","",ROUND(J214*'00_Eingabe'!$B$17*(1+'00_Eingabe'!$B$15),0))</x:f>
        <x:v>74</x:v>
      </x:c>
      <x:c r="N214" s="106"/>
      <x:c r="O214" s="106"/>
      <x:c r="P214" s="116"/>
      <x:c r="Q214" s="213" t="n">
        <x:f>IF(C214="Wochenende",1,0)</x:f>
        <x:v>0</x:v>
      </x:c>
      <x:c r="R214" s="213" t="n">
        <x:f>IF(AND(B214&lt;&gt;"Betriebsferien",OR(WEEKDAY(A214,2)=2,WEEKDAY(A214,2)=4)),1,0)</x:f>
        <x:v>0</x:v>
      </x:c>
      <x:c r="S214" s="214" t="n">
        <x:f>R214*MIN(1,'00_Eingabe'!$B$62/'00_Eingabe'!$B$61)</x:f>
        <x:v>0</x:v>
      </x:c>
      <x:c r="T214" s="213" t="n">
        <x:f>IF(B214="Betriebsferien",0,IF(B214="Nebensaison",IF(OR(WEEKDAY(A214,2)=1,WEEKDAY(A214,2)=3,WEEKDAY(A214,2)=5),1,0),IF(C214="Unterwoche",1,0)))</x:f>
        <x:v>1</x:v>
      </x:c>
      <x:c r="U214" s="213" t="n">
        <x:f>IF(B214="Betriebsferien",0,'00_Eingabe'!$G$24)</x:f>
        <x:v>8</x:v>
      </x:c>
    </x:row>
    <x:row r="215">
      <x:c r="A215" s="121" t="n">
        <x:f>IF(ROW()-4&lt;DATE('00_Eingabe'!$B$7+1,1,1)-DATE('00_Eingabe'!$B$7,1,1),DATE('00_Eingabe'!$B$7,1,1)+ROW()-4,"")</x:f>
        <x:v>45869</x:v>
      </x:c>
      <x:c r="B215" s="122" t="str">
        <x:f>IF(A215="","",IF(OR(AND(MONTH(A215)=12,DAY(A215)&gt;=20),AND(MONTH(A215)=1,DAY(A215)&lt;=2)),"Weihnachten",IF(OR(AND(MONTH(A215)=11,DAY(A215)&gt;=24),AND(MONTH(A215)=12,DAY(A215)&lt;=7)),"Betriebsferien",IF(OR(AND(MONTH(A215)=1,DAY(A215)&gt;=3),MONTH(A215)=2,MONTH(A215)=3,MONTH(A215)=4,MONTH(A215)=10,MONTH(A215)=11,AND(MONTH(A215)=12,DAY(A215)&lt;=15)),"Nebensaison","Hauptsaison"))))</x:f>
        <x:v>Hauptsaison</x:v>
      </x:c>
      <x:c r="C215" s="122" t="str">
        <x:f>IF(A215="","",IF(WEEKDAY(A215,2)&gt;=6,"Wochenende","Unterwoche"))</x:f>
        <x:v>Unterwoche</x:v>
      </x:c>
      <x:c r="D215" s="123" t="n">
        <x:f>IF(A215="","",IF(N215&lt;&gt;"",N215,IF(B215="Nebensaison",IF(C215="Wochenende",'00_Eingabe'!$C$24,'00_Eingabe'!$B$24),IF(B215="Hauptsaison",IF(C215="Wochenende",'00_Eingabe'!$C$25,'00_Eingabe'!$B$25),IF(B215="Weihnachten",IF(C215="Wochenende",'00_Eingabe'!$C$26,'00_Eingabe'!$B$26),IF(C215="Wochenende",'00_Eingabe'!$C$27,'00_Eingabe'!$B$27))))))</x:f>
        <x:v>0.85</x:v>
      </x:c>
      <x:c r="E215" s="122" t="n">
        <x:f>IF(OR(A215="",D215=""),"",ROUND('00_Eingabe'!$B$8*D215,0))</x:f>
        <x:v>30</x:v>
      </x:c>
      <x:c r="F215" s="122" t="n">
        <x:f>IF(E215="","",ROUND(E215*'00_Eingabe'!$B$18,0))</x:f>
        <x:v>57</x:v>
      </x:c>
      <x:c r="G215" s="123" t="n">
        <x:f>IF(A215="","",IF(O215&lt;&gt;"",O215,IF(B215="Nebensaison",IF(C215="Wochenende",'00_Eingabe'!$E$24,'00_Eingabe'!$D$24),IF(B215="Hauptsaison",IF(C215="Wochenende",'00_Eingabe'!$E$25,'00_Eingabe'!$D$25),IF(B215="Weihnachten",IF(C215="Wochenende",'00_Eingabe'!$E$26,'00_Eingabe'!$D$26),IF(C215="Wochenende",'00_Eingabe'!$E$27,'00_Eingabe'!$D$27))))))</x:f>
        <x:v>0.85</x:v>
      </x:c>
      <x:c r="H215" s="122" t="n">
        <x:f>IF(OR(A215="",G215=""),"",ROUND('00_Eingabe'!$B$9*G215,0))</x:f>
        <x:v>3</x:v>
      </x:c>
      <x:c r="I215" s="122" t="n">
        <x:f>IF(H215="","",ROUND(H215*'00_Eingabe'!$B$19,0))</x:f>
        <x:v>7</x:v>
      </x:c>
      <x:c r="J215" s="122" t="n">
        <x:f>IF(OR(F215="",I215=""),"",F215+I215)</x:f>
        <x:v>64</x:v>
      </x:c>
      <x:c r="K215" s="122" t="n">
        <x:f>IF(J215="","",ROUND(J215*'00_Eingabe'!$B$16*(1+'00_Eingabe'!$B$14),0))</x:f>
        <x:v>74</x:v>
      </x:c>
      <x:c r="L215" s="122" t="n">
        <x:f>IF(B215="Betriebsferien",0,ROUND(J215*'00_Eingabe'!$B$40,0)+IF(C215="Wochenende",'00_Eingabe'!$B$42,'00_Eingabe'!$B$41))</x:f>
        <x:v>63</x:v>
      </x:c>
      <x:c r="M215" s="123" t="n">
        <x:f>IF(J215="","",ROUND(J215*'00_Eingabe'!$B$17*(1+'00_Eingabe'!$B$15),0))</x:f>
        <x:v>74</x:v>
      </x:c>
      <x:c r="N215" s="106"/>
      <x:c r="O215" s="106"/>
      <x:c r="P215" s="116"/>
      <x:c r="Q215" s="213" t="n">
        <x:f>IF(C215="Wochenende",1,0)</x:f>
        <x:v>0</x:v>
      </x:c>
      <x:c r="R215" s="213" t="n">
        <x:f>IF(AND(B215&lt;&gt;"Betriebsferien",OR(WEEKDAY(A215,2)=2,WEEKDAY(A215,2)=4)),1,0)</x:f>
        <x:v>1</x:v>
      </x:c>
      <x:c r="S215" s="214" t="n">
        <x:f>R215*MIN(1,'00_Eingabe'!$B$62/'00_Eingabe'!$B$61)</x:f>
        <x:v>0.5</x:v>
      </x:c>
      <x:c r="T215" s="213" t="n">
        <x:f>IF(B215="Betriebsferien",0,IF(B215="Nebensaison",IF(OR(WEEKDAY(A215,2)=1,WEEKDAY(A215,2)=3,WEEKDAY(A215,2)=5),1,0),IF(C215="Unterwoche",1,0)))</x:f>
        <x:v>1</x:v>
      </x:c>
      <x:c r="U215" s="213" t="n">
        <x:f>IF(B215="Betriebsferien",0,'00_Eingabe'!$G$24)</x:f>
        <x:v>8</x:v>
      </x:c>
    </x:row>
    <x:row r="216">
      <x:c r="A216" s="121" t="n">
        <x:f>IF(ROW()-4&lt;DATE('00_Eingabe'!$B$7+1,1,1)-DATE('00_Eingabe'!$B$7,1,1),DATE('00_Eingabe'!$B$7,1,1)+ROW()-4,"")</x:f>
        <x:v>45870</x:v>
      </x:c>
      <x:c r="B216" s="122" t="str">
        <x:f>IF(A216="","",IF(OR(AND(MONTH(A216)=12,DAY(A216)&gt;=20),AND(MONTH(A216)=1,DAY(A216)&lt;=2)),"Weihnachten",IF(OR(AND(MONTH(A216)=11,DAY(A216)&gt;=24),AND(MONTH(A216)=12,DAY(A216)&lt;=7)),"Betriebsferien",IF(OR(AND(MONTH(A216)=1,DAY(A216)&gt;=3),MONTH(A216)=2,MONTH(A216)=3,MONTH(A216)=4,MONTH(A216)=10,MONTH(A216)=11,AND(MONTH(A216)=12,DAY(A216)&lt;=15)),"Nebensaison","Hauptsaison"))))</x:f>
        <x:v>Hauptsaison</x:v>
      </x:c>
      <x:c r="C216" s="122" t="str">
        <x:f>IF(A216="","",IF(WEEKDAY(A216,2)&gt;=6,"Wochenende","Unterwoche"))</x:f>
        <x:v>Unterwoche</x:v>
      </x:c>
      <x:c r="D216" s="123" t="n">
        <x:f>IF(A216="","",IF(N216&lt;&gt;"",N216,IF(B216="Nebensaison",IF(C216="Wochenende",'00_Eingabe'!$C$24,'00_Eingabe'!$B$24),IF(B216="Hauptsaison",IF(C216="Wochenende",'00_Eingabe'!$C$25,'00_Eingabe'!$B$25),IF(B216="Weihnachten",IF(C216="Wochenende",'00_Eingabe'!$C$26,'00_Eingabe'!$B$26),IF(C216="Wochenende",'00_Eingabe'!$C$27,'00_Eingabe'!$B$27))))))</x:f>
        <x:v>0.85</x:v>
      </x:c>
      <x:c r="E216" s="122" t="n">
        <x:f>IF(OR(A216="",D216=""),"",ROUND('00_Eingabe'!$B$8*D216,0))</x:f>
        <x:v>30</x:v>
      </x:c>
      <x:c r="F216" s="122" t="n">
        <x:f>IF(E216="","",ROUND(E216*'00_Eingabe'!$B$18,0))</x:f>
        <x:v>57</x:v>
      </x:c>
      <x:c r="G216" s="123" t="n">
        <x:f>IF(A216="","",IF(O216&lt;&gt;"",O216,IF(B216="Nebensaison",IF(C216="Wochenende",'00_Eingabe'!$E$24,'00_Eingabe'!$D$24),IF(B216="Hauptsaison",IF(C216="Wochenende",'00_Eingabe'!$E$25,'00_Eingabe'!$D$25),IF(B216="Weihnachten",IF(C216="Wochenende",'00_Eingabe'!$E$26,'00_Eingabe'!$D$26),IF(C216="Wochenende",'00_Eingabe'!$E$27,'00_Eingabe'!$D$27))))))</x:f>
        <x:v>0.85</x:v>
      </x:c>
      <x:c r="H216" s="122" t="n">
        <x:f>IF(OR(A216="",G216=""),"",ROUND('00_Eingabe'!$B$9*G216,0))</x:f>
        <x:v>3</x:v>
      </x:c>
      <x:c r="I216" s="122" t="n">
        <x:f>IF(H216="","",ROUND(H216*'00_Eingabe'!$B$19,0))</x:f>
        <x:v>7</x:v>
      </x:c>
      <x:c r="J216" s="122" t="n">
        <x:f>IF(OR(F216="",I216=""),"",F216+I216)</x:f>
        <x:v>64</x:v>
      </x:c>
      <x:c r="K216" s="122" t="n">
        <x:f>IF(J216="","",ROUND(J216*'00_Eingabe'!$B$16*(1+'00_Eingabe'!$B$14),0))</x:f>
        <x:v>74</x:v>
      </x:c>
      <x:c r="L216" s="122" t="n">
        <x:f>IF(B216="Betriebsferien",0,ROUND(J216*'00_Eingabe'!$B$40,0)+IF(C216="Wochenende",'00_Eingabe'!$B$42,'00_Eingabe'!$B$41))</x:f>
        <x:v>63</x:v>
      </x:c>
      <x:c r="M216" s="123" t="n">
        <x:f>IF(J216="","",ROUND(J216*'00_Eingabe'!$B$17*(1+'00_Eingabe'!$B$15),0))</x:f>
        <x:v>74</x:v>
      </x:c>
      <x:c r="N216" s="106"/>
      <x:c r="O216" s="106"/>
      <x:c r="P216" s="116"/>
      <x:c r="Q216" s="213" t="n">
        <x:f>IF(C216="Wochenende",1,0)</x:f>
        <x:v>0</x:v>
      </x:c>
      <x:c r="R216" s="213" t="n">
        <x:f>IF(AND(B216&lt;&gt;"Betriebsferien",OR(WEEKDAY(A216,2)=2,WEEKDAY(A216,2)=4)),1,0)</x:f>
        <x:v>0</x:v>
      </x:c>
      <x:c r="S216" s="214" t="n">
        <x:f>R216*MIN(1,'00_Eingabe'!$B$62/'00_Eingabe'!$B$61)</x:f>
        <x:v>0</x:v>
      </x:c>
      <x:c r="T216" s="213" t="n">
        <x:f>IF(B216="Betriebsferien",0,IF(B216="Nebensaison",IF(OR(WEEKDAY(A216,2)=1,WEEKDAY(A216,2)=3,WEEKDAY(A216,2)=5),1,0),IF(C216="Unterwoche",1,0)))</x:f>
        <x:v>1</x:v>
      </x:c>
      <x:c r="U216" s="213" t="n">
        <x:f>IF(B216="Betriebsferien",0,'00_Eingabe'!$G$24)</x:f>
        <x:v>8</x:v>
      </x:c>
    </x:row>
    <x:row r="217">
      <x:c r="A217" s="121" t="n">
        <x:f>IF(ROW()-4&lt;DATE('00_Eingabe'!$B$7+1,1,1)-DATE('00_Eingabe'!$B$7,1,1),DATE('00_Eingabe'!$B$7,1,1)+ROW()-4,"")</x:f>
        <x:v>45871</x:v>
      </x:c>
      <x:c r="B217" s="122" t="str">
        <x:f>IF(A217="","",IF(OR(AND(MONTH(A217)=12,DAY(A217)&gt;=20),AND(MONTH(A217)=1,DAY(A217)&lt;=2)),"Weihnachten",IF(OR(AND(MONTH(A217)=11,DAY(A217)&gt;=24),AND(MONTH(A217)=12,DAY(A217)&lt;=7)),"Betriebsferien",IF(OR(AND(MONTH(A217)=1,DAY(A217)&gt;=3),MONTH(A217)=2,MONTH(A217)=3,MONTH(A217)=4,MONTH(A217)=10,MONTH(A217)=11,AND(MONTH(A217)=12,DAY(A217)&lt;=15)),"Nebensaison","Hauptsaison"))))</x:f>
        <x:v>Hauptsaison</x:v>
      </x:c>
      <x:c r="C217" s="122" t="str">
        <x:f>IF(A217="","",IF(WEEKDAY(A217,2)&gt;=6,"Wochenende","Unterwoche"))</x:f>
        <x:v>Wochenende</x:v>
      </x:c>
      <x:c r="D217" s="123" t="n">
        <x:f>IF(A217="","",IF(N217&lt;&gt;"",N217,IF(B217="Nebensaison",IF(C217="Wochenende",'00_Eingabe'!$C$24,'00_Eingabe'!$B$24),IF(B217="Hauptsaison",IF(C217="Wochenende",'00_Eingabe'!$C$25,'00_Eingabe'!$B$25),IF(B217="Weihnachten",IF(C217="Wochenende",'00_Eingabe'!$C$26,'00_Eingabe'!$B$26),IF(C217="Wochenende",'00_Eingabe'!$C$27,'00_Eingabe'!$B$27))))))</x:f>
        <x:v>0.9</x:v>
      </x:c>
      <x:c r="E217" s="122" t="n">
        <x:f>IF(OR(A217="",D217=""),"",ROUND('00_Eingabe'!$B$8*D217,0))</x:f>
        <x:v>32</x:v>
      </x:c>
      <x:c r="F217" s="122" t="n">
        <x:f>IF(E217="","",ROUND(E217*'00_Eingabe'!$B$18,0))</x:f>
        <x:v>61</x:v>
      </x:c>
      <x:c r="G217" s="123" t="n">
        <x:f>IF(A217="","",IF(O217&lt;&gt;"",O217,IF(B217="Nebensaison",IF(C217="Wochenende",'00_Eingabe'!$E$24,'00_Eingabe'!$D$24),IF(B217="Hauptsaison",IF(C217="Wochenende",'00_Eingabe'!$E$25,'00_Eingabe'!$D$25),IF(B217="Weihnachten",IF(C217="Wochenende",'00_Eingabe'!$E$26,'00_Eingabe'!$D$26),IF(C217="Wochenende",'00_Eingabe'!$E$27,'00_Eingabe'!$D$27))))))</x:f>
        <x:v>0.9</x:v>
      </x:c>
      <x:c r="H217" s="122" t="n">
        <x:f>IF(OR(A217="",G217=""),"",ROUND('00_Eingabe'!$B$9*G217,0))</x:f>
        <x:v>4</x:v>
      </x:c>
      <x:c r="I217" s="122" t="n">
        <x:f>IF(H217="","",ROUND(H217*'00_Eingabe'!$B$19,0))</x:f>
        <x:v>9</x:v>
      </x:c>
      <x:c r="J217" s="122" t="n">
        <x:f>IF(OR(F217="",I217=""),"",F217+I217)</x:f>
        <x:v>70</x:v>
      </x:c>
      <x:c r="K217" s="122" t="n">
        <x:f>IF(J217="","",ROUND(J217*'00_Eingabe'!$B$16*(1+'00_Eingabe'!$B$14),0))</x:f>
        <x:v>81</x:v>
      </x:c>
      <x:c r="L217" s="122" t="n">
        <x:f>IF(B217="Betriebsferien",0,ROUND(J217*'00_Eingabe'!$B$40,0)+IF(C217="Wochenende",'00_Eingabe'!$B$42,'00_Eingabe'!$B$41))</x:f>
        <x:v>93</x:v>
      </x:c>
      <x:c r="M217" s="123" t="n">
        <x:f>IF(J217="","",ROUND(J217*'00_Eingabe'!$B$17*(1+'00_Eingabe'!$B$15),0))</x:f>
        <x:v>81</x:v>
      </x:c>
      <x:c r="N217" s="106"/>
      <x:c r="O217" s="106"/>
      <x:c r="P217" s="116"/>
      <x:c r="Q217" s="213" t="n">
        <x:f>IF(C217="Wochenende",1,0)</x:f>
        <x:v>1</x:v>
      </x:c>
      <x:c r="R217" s="213" t="n">
        <x:f>IF(AND(B217&lt;&gt;"Betriebsferien",OR(WEEKDAY(A217,2)=2,WEEKDAY(A217,2)=4)),1,0)</x:f>
        <x:v>0</x:v>
      </x:c>
      <x:c r="S217" s="214" t="n">
        <x:f>R217*MIN(1,'00_Eingabe'!$B$62/'00_Eingabe'!$B$61)</x:f>
        <x:v>0</x:v>
      </x:c>
      <x:c r="T217" s="213" t="n">
        <x:f>IF(B217="Betriebsferien",0,IF(B217="Nebensaison",IF(OR(WEEKDAY(A217,2)=1,WEEKDAY(A217,2)=3,WEEKDAY(A217,2)=5),1,0),IF(C217="Unterwoche",1,0)))</x:f>
        <x:v>0</x:v>
      </x:c>
      <x:c r="U217" s="213" t="n">
        <x:f>IF(B217="Betriebsferien",0,'00_Eingabe'!$G$24)</x:f>
        <x:v>8</x:v>
      </x:c>
    </x:row>
    <x:row r="218">
      <x:c r="A218" s="121" t="n">
        <x:f>IF(ROW()-4&lt;DATE('00_Eingabe'!$B$7+1,1,1)-DATE('00_Eingabe'!$B$7,1,1),DATE('00_Eingabe'!$B$7,1,1)+ROW()-4,"")</x:f>
        <x:v>45872</x:v>
      </x:c>
      <x:c r="B218" s="122" t="str">
        <x:f>IF(A218="","",IF(OR(AND(MONTH(A218)=12,DAY(A218)&gt;=20),AND(MONTH(A218)=1,DAY(A218)&lt;=2)),"Weihnachten",IF(OR(AND(MONTH(A218)=11,DAY(A218)&gt;=24),AND(MONTH(A218)=12,DAY(A218)&lt;=7)),"Betriebsferien",IF(OR(AND(MONTH(A218)=1,DAY(A218)&gt;=3),MONTH(A218)=2,MONTH(A218)=3,MONTH(A218)=4,MONTH(A218)=10,MONTH(A218)=11,AND(MONTH(A218)=12,DAY(A218)&lt;=15)),"Nebensaison","Hauptsaison"))))</x:f>
        <x:v>Hauptsaison</x:v>
      </x:c>
      <x:c r="C218" s="122" t="str">
        <x:f>IF(A218="","",IF(WEEKDAY(A218,2)&gt;=6,"Wochenende","Unterwoche"))</x:f>
        <x:v>Wochenende</x:v>
      </x:c>
      <x:c r="D218" s="123" t="n">
        <x:f>IF(A218="","",IF(N218&lt;&gt;"",N218,IF(B218="Nebensaison",IF(C218="Wochenende",'00_Eingabe'!$C$24,'00_Eingabe'!$B$24),IF(B218="Hauptsaison",IF(C218="Wochenende",'00_Eingabe'!$C$25,'00_Eingabe'!$B$25),IF(B218="Weihnachten",IF(C218="Wochenende",'00_Eingabe'!$C$26,'00_Eingabe'!$B$26),IF(C218="Wochenende",'00_Eingabe'!$C$27,'00_Eingabe'!$B$27))))))</x:f>
        <x:v>0.9</x:v>
      </x:c>
      <x:c r="E218" s="122" t="n">
        <x:f>IF(OR(A218="",D218=""),"",ROUND('00_Eingabe'!$B$8*D218,0))</x:f>
        <x:v>32</x:v>
      </x:c>
      <x:c r="F218" s="122" t="n">
        <x:f>IF(E218="","",ROUND(E218*'00_Eingabe'!$B$18,0))</x:f>
        <x:v>61</x:v>
      </x:c>
      <x:c r="G218" s="123" t="n">
        <x:f>IF(A218="","",IF(O218&lt;&gt;"",O218,IF(B218="Nebensaison",IF(C218="Wochenende",'00_Eingabe'!$E$24,'00_Eingabe'!$D$24),IF(B218="Hauptsaison",IF(C218="Wochenende",'00_Eingabe'!$E$25,'00_Eingabe'!$D$25),IF(B218="Weihnachten",IF(C218="Wochenende",'00_Eingabe'!$E$26,'00_Eingabe'!$D$26),IF(C218="Wochenende",'00_Eingabe'!$E$27,'00_Eingabe'!$D$27))))))</x:f>
        <x:v>0.9</x:v>
      </x:c>
      <x:c r="H218" s="122" t="n">
        <x:f>IF(OR(A218="",G218=""),"",ROUND('00_Eingabe'!$B$9*G218,0))</x:f>
        <x:v>4</x:v>
      </x:c>
      <x:c r="I218" s="122" t="n">
        <x:f>IF(H218="","",ROUND(H218*'00_Eingabe'!$B$19,0))</x:f>
        <x:v>9</x:v>
      </x:c>
      <x:c r="J218" s="122" t="n">
        <x:f>IF(OR(F218="",I218=""),"",F218+I218)</x:f>
        <x:v>70</x:v>
      </x:c>
      <x:c r="K218" s="122" t="n">
        <x:f>IF(J218="","",ROUND(J218*'00_Eingabe'!$B$16*(1+'00_Eingabe'!$B$14),0))</x:f>
        <x:v>81</x:v>
      </x:c>
      <x:c r="L218" s="122" t="n">
        <x:f>IF(B218="Betriebsferien",0,ROUND(J218*'00_Eingabe'!$B$40,0)+IF(C218="Wochenende",'00_Eingabe'!$B$42,'00_Eingabe'!$B$41))</x:f>
        <x:v>93</x:v>
      </x:c>
      <x:c r="M218" s="123" t="n">
        <x:f>IF(J218="","",ROUND(J218*'00_Eingabe'!$B$17*(1+'00_Eingabe'!$B$15),0))</x:f>
        <x:v>81</x:v>
      </x:c>
      <x:c r="N218" s="106"/>
      <x:c r="O218" s="106"/>
      <x:c r="P218" s="116"/>
      <x:c r="Q218" s="213" t="n">
        <x:f>IF(C218="Wochenende",1,0)</x:f>
        <x:v>1</x:v>
      </x:c>
      <x:c r="R218" s="213" t="n">
        <x:f>IF(AND(B218&lt;&gt;"Betriebsferien",OR(WEEKDAY(A218,2)=2,WEEKDAY(A218,2)=4)),1,0)</x:f>
        <x:v>0</x:v>
      </x:c>
      <x:c r="S218" s="214" t="n">
        <x:f>R218*MIN(1,'00_Eingabe'!$B$62/'00_Eingabe'!$B$61)</x:f>
        <x:v>0</x:v>
      </x:c>
      <x:c r="T218" s="213" t="n">
        <x:f>IF(B218="Betriebsferien",0,IF(B218="Nebensaison",IF(OR(WEEKDAY(A218,2)=1,WEEKDAY(A218,2)=3,WEEKDAY(A218,2)=5),1,0),IF(C218="Unterwoche",1,0)))</x:f>
        <x:v>0</x:v>
      </x:c>
      <x:c r="U218" s="213" t="n">
        <x:f>IF(B218="Betriebsferien",0,'00_Eingabe'!$G$24)</x:f>
        <x:v>8</x:v>
      </x:c>
    </x:row>
    <x:row r="219">
      <x:c r="A219" s="121" t="n">
        <x:f>IF(ROW()-4&lt;DATE('00_Eingabe'!$B$7+1,1,1)-DATE('00_Eingabe'!$B$7,1,1),DATE('00_Eingabe'!$B$7,1,1)+ROW()-4,"")</x:f>
        <x:v>45873</x:v>
      </x:c>
      <x:c r="B219" s="122" t="str">
        <x:f>IF(A219="","",IF(OR(AND(MONTH(A219)=12,DAY(A219)&gt;=20),AND(MONTH(A219)=1,DAY(A219)&lt;=2)),"Weihnachten",IF(OR(AND(MONTH(A219)=11,DAY(A219)&gt;=24),AND(MONTH(A219)=12,DAY(A219)&lt;=7)),"Betriebsferien",IF(OR(AND(MONTH(A219)=1,DAY(A219)&gt;=3),MONTH(A219)=2,MONTH(A219)=3,MONTH(A219)=4,MONTH(A219)=10,MONTH(A219)=11,AND(MONTH(A219)=12,DAY(A219)&lt;=15)),"Nebensaison","Hauptsaison"))))</x:f>
        <x:v>Hauptsaison</x:v>
      </x:c>
      <x:c r="C219" s="122" t="str">
        <x:f>IF(A219="","",IF(WEEKDAY(A219,2)&gt;=6,"Wochenende","Unterwoche"))</x:f>
        <x:v>Unterwoche</x:v>
      </x:c>
      <x:c r="D219" s="123" t="n">
        <x:f>IF(A219="","",IF(N219&lt;&gt;"",N219,IF(B219="Nebensaison",IF(C219="Wochenende",'00_Eingabe'!$C$24,'00_Eingabe'!$B$24),IF(B219="Hauptsaison",IF(C219="Wochenende",'00_Eingabe'!$C$25,'00_Eingabe'!$B$25),IF(B219="Weihnachten",IF(C219="Wochenende",'00_Eingabe'!$C$26,'00_Eingabe'!$B$26),IF(C219="Wochenende",'00_Eingabe'!$C$27,'00_Eingabe'!$B$27))))))</x:f>
        <x:v>0.85</x:v>
      </x:c>
      <x:c r="E219" s="122" t="n">
        <x:f>IF(OR(A219="",D219=""),"",ROUND('00_Eingabe'!$B$8*D219,0))</x:f>
        <x:v>30</x:v>
      </x:c>
      <x:c r="F219" s="122" t="n">
        <x:f>IF(E219="","",ROUND(E219*'00_Eingabe'!$B$18,0))</x:f>
        <x:v>57</x:v>
      </x:c>
      <x:c r="G219" s="123" t="n">
        <x:f>IF(A219="","",IF(O219&lt;&gt;"",O219,IF(B219="Nebensaison",IF(C219="Wochenende",'00_Eingabe'!$E$24,'00_Eingabe'!$D$24),IF(B219="Hauptsaison",IF(C219="Wochenende",'00_Eingabe'!$E$25,'00_Eingabe'!$D$25),IF(B219="Weihnachten",IF(C219="Wochenende",'00_Eingabe'!$E$26,'00_Eingabe'!$D$26),IF(C219="Wochenende",'00_Eingabe'!$E$27,'00_Eingabe'!$D$27))))))</x:f>
        <x:v>0.85</x:v>
      </x:c>
      <x:c r="H219" s="122" t="n">
        <x:f>IF(OR(A219="",G219=""),"",ROUND('00_Eingabe'!$B$9*G219,0))</x:f>
        <x:v>3</x:v>
      </x:c>
      <x:c r="I219" s="122" t="n">
        <x:f>IF(H219="","",ROUND(H219*'00_Eingabe'!$B$19,0))</x:f>
        <x:v>7</x:v>
      </x:c>
      <x:c r="J219" s="122" t="n">
        <x:f>IF(OR(F219="",I219=""),"",F219+I219)</x:f>
        <x:v>64</x:v>
      </x:c>
      <x:c r="K219" s="122" t="n">
        <x:f>IF(J219="","",ROUND(J219*'00_Eingabe'!$B$16*(1+'00_Eingabe'!$B$14),0))</x:f>
        <x:v>74</x:v>
      </x:c>
      <x:c r="L219" s="122" t="n">
        <x:f>IF(B219="Betriebsferien",0,ROUND(J219*'00_Eingabe'!$B$40,0)+IF(C219="Wochenende",'00_Eingabe'!$B$42,'00_Eingabe'!$B$41))</x:f>
        <x:v>63</x:v>
      </x:c>
      <x:c r="M219" s="123" t="n">
        <x:f>IF(J219="","",ROUND(J219*'00_Eingabe'!$B$17*(1+'00_Eingabe'!$B$15),0))</x:f>
        <x:v>74</x:v>
      </x:c>
      <x:c r="N219" s="106"/>
      <x:c r="O219" s="106"/>
      <x:c r="P219" s="116"/>
      <x:c r="Q219" s="213" t="n">
        <x:f>IF(C219="Wochenende",1,0)</x:f>
        <x:v>0</x:v>
      </x:c>
      <x:c r="R219" s="213" t="n">
        <x:f>IF(AND(B219&lt;&gt;"Betriebsferien",OR(WEEKDAY(A219,2)=2,WEEKDAY(A219,2)=4)),1,0)</x:f>
        <x:v>0</x:v>
      </x:c>
      <x:c r="S219" s="214" t="n">
        <x:f>R219*MIN(1,'00_Eingabe'!$B$62/'00_Eingabe'!$B$61)</x:f>
        <x:v>0</x:v>
      </x:c>
      <x:c r="T219" s="213" t="n">
        <x:f>IF(B219="Betriebsferien",0,IF(B219="Nebensaison",IF(OR(WEEKDAY(A219,2)=1,WEEKDAY(A219,2)=3,WEEKDAY(A219,2)=5),1,0),IF(C219="Unterwoche",1,0)))</x:f>
        <x:v>1</x:v>
      </x:c>
      <x:c r="U219" s="213" t="n">
        <x:f>IF(B219="Betriebsferien",0,'00_Eingabe'!$G$24)</x:f>
        <x:v>8</x:v>
      </x:c>
    </x:row>
    <x:row r="220">
      <x:c r="A220" s="121" t="n">
        <x:f>IF(ROW()-4&lt;DATE('00_Eingabe'!$B$7+1,1,1)-DATE('00_Eingabe'!$B$7,1,1),DATE('00_Eingabe'!$B$7,1,1)+ROW()-4,"")</x:f>
        <x:v>45874</x:v>
      </x:c>
      <x:c r="B220" s="122" t="str">
        <x:f>IF(A220="","",IF(OR(AND(MONTH(A220)=12,DAY(A220)&gt;=20),AND(MONTH(A220)=1,DAY(A220)&lt;=2)),"Weihnachten",IF(OR(AND(MONTH(A220)=11,DAY(A220)&gt;=24),AND(MONTH(A220)=12,DAY(A220)&lt;=7)),"Betriebsferien",IF(OR(AND(MONTH(A220)=1,DAY(A220)&gt;=3),MONTH(A220)=2,MONTH(A220)=3,MONTH(A220)=4,MONTH(A220)=10,MONTH(A220)=11,AND(MONTH(A220)=12,DAY(A220)&lt;=15)),"Nebensaison","Hauptsaison"))))</x:f>
        <x:v>Hauptsaison</x:v>
      </x:c>
      <x:c r="C220" s="122" t="str">
        <x:f>IF(A220="","",IF(WEEKDAY(A220,2)&gt;=6,"Wochenende","Unterwoche"))</x:f>
        <x:v>Unterwoche</x:v>
      </x:c>
      <x:c r="D220" s="123" t="n">
        <x:f>IF(A220="","",IF(N220&lt;&gt;"",N220,IF(B220="Nebensaison",IF(C220="Wochenende",'00_Eingabe'!$C$24,'00_Eingabe'!$B$24),IF(B220="Hauptsaison",IF(C220="Wochenende",'00_Eingabe'!$C$25,'00_Eingabe'!$B$25),IF(B220="Weihnachten",IF(C220="Wochenende",'00_Eingabe'!$C$26,'00_Eingabe'!$B$26),IF(C220="Wochenende",'00_Eingabe'!$C$27,'00_Eingabe'!$B$27))))))</x:f>
        <x:v>0.85</x:v>
      </x:c>
      <x:c r="E220" s="122" t="n">
        <x:f>IF(OR(A220="",D220=""),"",ROUND('00_Eingabe'!$B$8*D220,0))</x:f>
        <x:v>30</x:v>
      </x:c>
      <x:c r="F220" s="122" t="n">
        <x:f>IF(E220="","",ROUND(E220*'00_Eingabe'!$B$18,0))</x:f>
        <x:v>57</x:v>
      </x:c>
      <x:c r="G220" s="123" t="n">
        <x:f>IF(A220="","",IF(O220&lt;&gt;"",O220,IF(B220="Nebensaison",IF(C220="Wochenende",'00_Eingabe'!$E$24,'00_Eingabe'!$D$24),IF(B220="Hauptsaison",IF(C220="Wochenende",'00_Eingabe'!$E$25,'00_Eingabe'!$D$25),IF(B220="Weihnachten",IF(C220="Wochenende",'00_Eingabe'!$E$26,'00_Eingabe'!$D$26),IF(C220="Wochenende",'00_Eingabe'!$E$27,'00_Eingabe'!$D$27))))))</x:f>
        <x:v>0.85</x:v>
      </x:c>
      <x:c r="H220" s="122" t="n">
        <x:f>IF(OR(A220="",G220=""),"",ROUND('00_Eingabe'!$B$9*G220,0))</x:f>
        <x:v>3</x:v>
      </x:c>
      <x:c r="I220" s="122" t="n">
        <x:f>IF(H220="","",ROUND(H220*'00_Eingabe'!$B$19,0))</x:f>
        <x:v>7</x:v>
      </x:c>
      <x:c r="J220" s="122" t="n">
        <x:f>IF(OR(F220="",I220=""),"",F220+I220)</x:f>
        <x:v>64</x:v>
      </x:c>
      <x:c r="K220" s="122" t="n">
        <x:f>IF(J220="","",ROUND(J220*'00_Eingabe'!$B$16*(1+'00_Eingabe'!$B$14),0))</x:f>
        <x:v>74</x:v>
      </x:c>
      <x:c r="L220" s="122" t="n">
        <x:f>IF(B220="Betriebsferien",0,ROUND(J220*'00_Eingabe'!$B$40,0)+IF(C220="Wochenende",'00_Eingabe'!$B$42,'00_Eingabe'!$B$41))</x:f>
        <x:v>63</x:v>
      </x:c>
      <x:c r="M220" s="123" t="n">
        <x:f>IF(J220="","",ROUND(J220*'00_Eingabe'!$B$17*(1+'00_Eingabe'!$B$15),0))</x:f>
        <x:v>74</x:v>
      </x:c>
      <x:c r="N220" s="106"/>
      <x:c r="O220" s="106"/>
      <x:c r="P220" s="116"/>
      <x:c r="Q220" s="213" t="n">
        <x:f>IF(C220="Wochenende",1,0)</x:f>
        <x:v>0</x:v>
      </x:c>
      <x:c r="R220" s="213" t="n">
        <x:f>IF(AND(B220&lt;&gt;"Betriebsferien",OR(WEEKDAY(A220,2)=2,WEEKDAY(A220,2)=4)),1,0)</x:f>
        <x:v>1</x:v>
      </x:c>
      <x:c r="S220" s="214" t="n">
        <x:f>R220*MIN(1,'00_Eingabe'!$B$62/'00_Eingabe'!$B$61)</x:f>
        <x:v>0.5</x:v>
      </x:c>
      <x:c r="T220" s="213" t="n">
        <x:f>IF(B220="Betriebsferien",0,IF(B220="Nebensaison",IF(OR(WEEKDAY(A220,2)=1,WEEKDAY(A220,2)=3,WEEKDAY(A220,2)=5),1,0),IF(C220="Unterwoche",1,0)))</x:f>
        <x:v>1</x:v>
      </x:c>
      <x:c r="U220" s="213" t="n">
        <x:f>IF(B220="Betriebsferien",0,'00_Eingabe'!$G$24)</x:f>
        <x:v>8</x:v>
      </x:c>
    </x:row>
    <x:row r="221">
      <x:c r="A221" s="121" t="n">
        <x:f>IF(ROW()-4&lt;DATE('00_Eingabe'!$B$7+1,1,1)-DATE('00_Eingabe'!$B$7,1,1),DATE('00_Eingabe'!$B$7,1,1)+ROW()-4,"")</x:f>
        <x:v>45875</x:v>
      </x:c>
      <x:c r="B221" s="122" t="str">
        <x:f>IF(A221="","",IF(OR(AND(MONTH(A221)=12,DAY(A221)&gt;=20),AND(MONTH(A221)=1,DAY(A221)&lt;=2)),"Weihnachten",IF(OR(AND(MONTH(A221)=11,DAY(A221)&gt;=24),AND(MONTH(A221)=12,DAY(A221)&lt;=7)),"Betriebsferien",IF(OR(AND(MONTH(A221)=1,DAY(A221)&gt;=3),MONTH(A221)=2,MONTH(A221)=3,MONTH(A221)=4,MONTH(A221)=10,MONTH(A221)=11,AND(MONTH(A221)=12,DAY(A221)&lt;=15)),"Nebensaison","Hauptsaison"))))</x:f>
        <x:v>Hauptsaison</x:v>
      </x:c>
      <x:c r="C221" s="122" t="str">
        <x:f>IF(A221="","",IF(WEEKDAY(A221,2)&gt;=6,"Wochenende","Unterwoche"))</x:f>
        <x:v>Unterwoche</x:v>
      </x:c>
      <x:c r="D221" s="123" t="n">
        <x:f>IF(A221="","",IF(N221&lt;&gt;"",N221,IF(B221="Nebensaison",IF(C221="Wochenende",'00_Eingabe'!$C$24,'00_Eingabe'!$B$24),IF(B221="Hauptsaison",IF(C221="Wochenende",'00_Eingabe'!$C$25,'00_Eingabe'!$B$25),IF(B221="Weihnachten",IF(C221="Wochenende",'00_Eingabe'!$C$26,'00_Eingabe'!$B$26),IF(C221="Wochenende",'00_Eingabe'!$C$27,'00_Eingabe'!$B$27))))))</x:f>
        <x:v>0.85</x:v>
      </x:c>
      <x:c r="E221" s="122" t="n">
        <x:f>IF(OR(A221="",D221=""),"",ROUND('00_Eingabe'!$B$8*D221,0))</x:f>
        <x:v>30</x:v>
      </x:c>
      <x:c r="F221" s="122" t="n">
        <x:f>IF(E221="","",ROUND(E221*'00_Eingabe'!$B$18,0))</x:f>
        <x:v>57</x:v>
      </x:c>
      <x:c r="G221" s="123" t="n">
        <x:f>IF(A221="","",IF(O221&lt;&gt;"",O221,IF(B221="Nebensaison",IF(C221="Wochenende",'00_Eingabe'!$E$24,'00_Eingabe'!$D$24),IF(B221="Hauptsaison",IF(C221="Wochenende",'00_Eingabe'!$E$25,'00_Eingabe'!$D$25),IF(B221="Weihnachten",IF(C221="Wochenende",'00_Eingabe'!$E$26,'00_Eingabe'!$D$26),IF(C221="Wochenende",'00_Eingabe'!$E$27,'00_Eingabe'!$D$27))))))</x:f>
        <x:v>0.85</x:v>
      </x:c>
      <x:c r="H221" s="122" t="n">
        <x:f>IF(OR(A221="",G221=""),"",ROUND('00_Eingabe'!$B$9*G221,0))</x:f>
        <x:v>3</x:v>
      </x:c>
      <x:c r="I221" s="122" t="n">
        <x:f>IF(H221="","",ROUND(H221*'00_Eingabe'!$B$19,0))</x:f>
        <x:v>7</x:v>
      </x:c>
      <x:c r="J221" s="122" t="n">
        <x:f>IF(OR(F221="",I221=""),"",F221+I221)</x:f>
        <x:v>64</x:v>
      </x:c>
      <x:c r="K221" s="122" t="n">
        <x:f>IF(J221="","",ROUND(J221*'00_Eingabe'!$B$16*(1+'00_Eingabe'!$B$14),0))</x:f>
        <x:v>74</x:v>
      </x:c>
      <x:c r="L221" s="122" t="n">
        <x:f>IF(B221="Betriebsferien",0,ROUND(J221*'00_Eingabe'!$B$40,0)+IF(C221="Wochenende",'00_Eingabe'!$B$42,'00_Eingabe'!$B$41))</x:f>
        <x:v>63</x:v>
      </x:c>
      <x:c r="M221" s="123" t="n">
        <x:f>IF(J221="","",ROUND(J221*'00_Eingabe'!$B$17*(1+'00_Eingabe'!$B$15),0))</x:f>
        <x:v>74</x:v>
      </x:c>
      <x:c r="N221" s="106"/>
      <x:c r="O221" s="106"/>
      <x:c r="P221" s="116"/>
      <x:c r="Q221" s="213" t="n">
        <x:f>IF(C221="Wochenende",1,0)</x:f>
        <x:v>0</x:v>
      </x:c>
      <x:c r="R221" s="213" t="n">
        <x:f>IF(AND(B221&lt;&gt;"Betriebsferien",OR(WEEKDAY(A221,2)=2,WEEKDAY(A221,2)=4)),1,0)</x:f>
        <x:v>0</x:v>
      </x:c>
      <x:c r="S221" s="214" t="n">
        <x:f>R221*MIN(1,'00_Eingabe'!$B$62/'00_Eingabe'!$B$61)</x:f>
        <x:v>0</x:v>
      </x:c>
      <x:c r="T221" s="213" t="n">
        <x:f>IF(B221="Betriebsferien",0,IF(B221="Nebensaison",IF(OR(WEEKDAY(A221,2)=1,WEEKDAY(A221,2)=3,WEEKDAY(A221,2)=5),1,0),IF(C221="Unterwoche",1,0)))</x:f>
        <x:v>1</x:v>
      </x:c>
      <x:c r="U221" s="213" t="n">
        <x:f>IF(B221="Betriebsferien",0,'00_Eingabe'!$G$24)</x:f>
        <x:v>8</x:v>
      </x:c>
    </x:row>
    <x:row r="222">
      <x:c r="A222" s="121" t="n">
        <x:f>IF(ROW()-4&lt;DATE('00_Eingabe'!$B$7+1,1,1)-DATE('00_Eingabe'!$B$7,1,1),DATE('00_Eingabe'!$B$7,1,1)+ROW()-4,"")</x:f>
        <x:v>45876</x:v>
      </x:c>
      <x:c r="B222" s="122" t="str">
        <x:f>IF(A222="","",IF(OR(AND(MONTH(A222)=12,DAY(A222)&gt;=20),AND(MONTH(A222)=1,DAY(A222)&lt;=2)),"Weihnachten",IF(OR(AND(MONTH(A222)=11,DAY(A222)&gt;=24),AND(MONTH(A222)=12,DAY(A222)&lt;=7)),"Betriebsferien",IF(OR(AND(MONTH(A222)=1,DAY(A222)&gt;=3),MONTH(A222)=2,MONTH(A222)=3,MONTH(A222)=4,MONTH(A222)=10,MONTH(A222)=11,AND(MONTH(A222)=12,DAY(A222)&lt;=15)),"Nebensaison","Hauptsaison"))))</x:f>
        <x:v>Hauptsaison</x:v>
      </x:c>
      <x:c r="C222" s="122" t="str">
        <x:f>IF(A222="","",IF(WEEKDAY(A222,2)&gt;=6,"Wochenende","Unterwoche"))</x:f>
        <x:v>Unterwoche</x:v>
      </x:c>
      <x:c r="D222" s="123" t="n">
        <x:f>IF(A222="","",IF(N222&lt;&gt;"",N222,IF(B222="Nebensaison",IF(C222="Wochenende",'00_Eingabe'!$C$24,'00_Eingabe'!$B$24),IF(B222="Hauptsaison",IF(C222="Wochenende",'00_Eingabe'!$C$25,'00_Eingabe'!$B$25),IF(B222="Weihnachten",IF(C222="Wochenende",'00_Eingabe'!$C$26,'00_Eingabe'!$B$26),IF(C222="Wochenende",'00_Eingabe'!$C$27,'00_Eingabe'!$B$27))))))</x:f>
        <x:v>0.85</x:v>
      </x:c>
      <x:c r="E222" s="122" t="n">
        <x:f>IF(OR(A222="",D222=""),"",ROUND('00_Eingabe'!$B$8*D222,0))</x:f>
        <x:v>30</x:v>
      </x:c>
      <x:c r="F222" s="122" t="n">
        <x:f>IF(E222="","",ROUND(E222*'00_Eingabe'!$B$18,0))</x:f>
        <x:v>57</x:v>
      </x:c>
      <x:c r="G222" s="123" t="n">
        <x:f>IF(A222="","",IF(O222&lt;&gt;"",O222,IF(B222="Nebensaison",IF(C222="Wochenende",'00_Eingabe'!$E$24,'00_Eingabe'!$D$24),IF(B222="Hauptsaison",IF(C222="Wochenende",'00_Eingabe'!$E$25,'00_Eingabe'!$D$25),IF(B222="Weihnachten",IF(C222="Wochenende",'00_Eingabe'!$E$26,'00_Eingabe'!$D$26),IF(C222="Wochenende",'00_Eingabe'!$E$27,'00_Eingabe'!$D$27))))))</x:f>
        <x:v>0.85</x:v>
      </x:c>
      <x:c r="H222" s="122" t="n">
        <x:f>IF(OR(A222="",G222=""),"",ROUND('00_Eingabe'!$B$9*G222,0))</x:f>
        <x:v>3</x:v>
      </x:c>
      <x:c r="I222" s="122" t="n">
        <x:f>IF(H222="","",ROUND(H222*'00_Eingabe'!$B$19,0))</x:f>
        <x:v>7</x:v>
      </x:c>
      <x:c r="J222" s="122" t="n">
        <x:f>IF(OR(F222="",I222=""),"",F222+I222)</x:f>
        <x:v>64</x:v>
      </x:c>
      <x:c r="K222" s="122" t="n">
        <x:f>IF(J222="","",ROUND(J222*'00_Eingabe'!$B$16*(1+'00_Eingabe'!$B$14),0))</x:f>
        <x:v>74</x:v>
      </x:c>
      <x:c r="L222" s="122" t="n">
        <x:f>IF(B222="Betriebsferien",0,ROUND(J222*'00_Eingabe'!$B$40,0)+IF(C222="Wochenende",'00_Eingabe'!$B$42,'00_Eingabe'!$B$41))</x:f>
        <x:v>63</x:v>
      </x:c>
      <x:c r="M222" s="123" t="n">
        <x:f>IF(J222="","",ROUND(J222*'00_Eingabe'!$B$17*(1+'00_Eingabe'!$B$15),0))</x:f>
        <x:v>74</x:v>
      </x:c>
      <x:c r="N222" s="106"/>
      <x:c r="O222" s="106"/>
      <x:c r="P222" s="116"/>
      <x:c r="Q222" s="213" t="n">
        <x:f>IF(C222="Wochenende",1,0)</x:f>
        <x:v>0</x:v>
      </x:c>
      <x:c r="R222" s="213" t="n">
        <x:f>IF(AND(B222&lt;&gt;"Betriebsferien",OR(WEEKDAY(A222,2)=2,WEEKDAY(A222,2)=4)),1,0)</x:f>
        <x:v>1</x:v>
      </x:c>
      <x:c r="S222" s="214" t="n">
        <x:f>R222*MIN(1,'00_Eingabe'!$B$62/'00_Eingabe'!$B$61)</x:f>
        <x:v>0.5</x:v>
      </x:c>
      <x:c r="T222" s="213" t="n">
        <x:f>IF(B222="Betriebsferien",0,IF(B222="Nebensaison",IF(OR(WEEKDAY(A222,2)=1,WEEKDAY(A222,2)=3,WEEKDAY(A222,2)=5),1,0),IF(C222="Unterwoche",1,0)))</x:f>
        <x:v>1</x:v>
      </x:c>
      <x:c r="U222" s="213" t="n">
        <x:f>IF(B222="Betriebsferien",0,'00_Eingabe'!$G$24)</x:f>
        <x:v>8</x:v>
      </x:c>
    </x:row>
    <x:row r="223">
      <x:c r="A223" s="121" t="n">
        <x:f>IF(ROW()-4&lt;DATE('00_Eingabe'!$B$7+1,1,1)-DATE('00_Eingabe'!$B$7,1,1),DATE('00_Eingabe'!$B$7,1,1)+ROW()-4,"")</x:f>
        <x:v>45877</x:v>
      </x:c>
      <x:c r="B223" s="122" t="str">
        <x:f>IF(A223="","",IF(OR(AND(MONTH(A223)=12,DAY(A223)&gt;=20),AND(MONTH(A223)=1,DAY(A223)&lt;=2)),"Weihnachten",IF(OR(AND(MONTH(A223)=11,DAY(A223)&gt;=24),AND(MONTH(A223)=12,DAY(A223)&lt;=7)),"Betriebsferien",IF(OR(AND(MONTH(A223)=1,DAY(A223)&gt;=3),MONTH(A223)=2,MONTH(A223)=3,MONTH(A223)=4,MONTH(A223)=10,MONTH(A223)=11,AND(MONTH(A223)=12,DAY(A223)&lt;=15)),"Nebensaison","Hauptsaison"))))</x:f>
        <x:v>Hauptsaison</x:v>
      </x:c>
      <x:c r="C223" s="122" t="str">
        <x:f>IF(A223="","",IF(WEEKDAY(A223,2)&gt;=6,"Wochenende","Unterwoche"))</x:f>
        <x:v>Unterwoche</x:v>
      </x:c>
      <x:c r="D223" s="123" t="n">
        <x:f>IF(A223="","",IF(N223&lt;&gt;"",N223,IF(B223="Nebensaison",IF(C223="Wochenende",'00_Eingabe'!$C$24,'00_Eingabe'!$B$24),IF(B223="Hauptsaison",IF(C223="Wochenende",'00_Eingabe'!$C$25,'00_Eingabe'!$B$25),IF(B223="Weihnachten",IF(C223="Wochenende",'00_Eingabe'!$C$26,'00_Eingabe'!$B$26),IF(C223="Wochenende",'00_Eingabe'!$C$27,'00_Eingabe'!$B$27))))))</x:f>
        <x:v>0.85</x:v>
      </x:c>
      <x:c r="E223" s="122" t="n">
        <x:f>IF(OR(A223="",D223=""),"",ROUND('00_Eingabe'!$B$8*D223,0))</x:f>
        <x:v>30</x:v>
      </x:c>
      <x:c r="F223" s="122" t="n">
        <x:f>IF(E223="","",ROUND(E223*'00_Eingabe'!$B$18,0))</x:f>
        <x:v>57</x:v>
      </x:c>
      <x:c r="G223" s="123" t="n">
        <x:f>IF(A223="","",IF(O223&lt;&gt;"",O223,IF(B223="Nebensaison",IF(C223="Wochenende",'00_Eingabe'!$E$24,'00_Eingabe'!$D$24),IF(B223="Hauptsaison",IF(C223="Wochenende",'00_Eingabe'!$E$25,'00_Eingabe'!$D$25),IF(B223="Weihnachten",IF(C223="Wochenende",'00_Eingabe'!$E$26,'00_Eingabe'!$D$26),IF(C223="Wochenende",'00_Eingabe'!$E$27,'00_Eingabe'!$D$27))))))</x:f>
        <x:v>0.85</x:v>
      </x:c>
      <x:c r="H223" s="122" t="n">
        <x:f>IF(OR(A223="",G223=""),"",ROUND('00_Eingabe'!$B$9*G223,0))</x:f>
        <x:v>3</x:v>
      </x:c>
      <x:c r="I223" s="122" t="n">
        <x:f>IF(H223="","",ROUND(H223*'00_Eingabe'!$B$19,0))</x:f>
        <x:v>7</x:v>
      </x:c>
      <x:c r="J223" s="122" t="n">
        <x:f>IF(OR(F223="",I223=""),"",F223+I223)</x:f>
        <x:v>64</x:v>
      </x:c>
      <x:c r="K223" s="122" t="n">
        <x:f>IF(J223="","",ROUND(J223*'00_Eingabe'!$B$16*(1+'00_Eingabe'!$B$14),0))</x:f>
        <x:v>74</x:v>
      </x:c>
      <x:c r="L223" s="122" t="n">
        <x:f>IF(B223="Betriebsferien",0,ROUND(J223*'00_Eingabe'!$B$40,0)+IF(C223="Wochenende",'00_Eingabe'!$B$42,'00_Eingabe'!$B$41))</x:f>
        <x:v>63</x:v>
      </x:c>
      <x:c r="M223" s="123" t="n">
        <x:f>IF(J223="","",ROUND(J223*'00_Eingabe'!$B$17*(1+'00_Eingabe'!$B$15),0))</x:f>
        <x:v>74</x:v>
      </x:c>
      <x:c r="N223" s="106"/>
      <x:c r="O223" s="106"/>
      <x:c r="P223" s="116"/>
      <x:c r="Q223" s="213" t="n">
        <x:f>IF(C223="Wochenende",1,0)</x:f>
        <x:v>0</x:v>
      </x:c>
      <x:c r="R223" s="213" t="n">
        <x:f>IF(AND(B223&lt;&gt;"Betriebsferien",OR(WEEKDAY(A223,2)=2,WEEKDAY(A223,2)=4)),1,0)</x:f>
        <x:v>0</x:v>
      </x:c>
      <x:c r="S223" s="214" t="n">
        <x:f>R223*MIN(1,'00_Eingabe'!$B$62/'00_Eingabe'!$B$61)</x:f>
        <x:v>0</x:v>
      </x:c>
      <x:c r="T223" s="213" t="n">
        <x:f>IF(B223="Betriebsferien",0,IF(B223="Nebensaison",IF(OR(WEEKDAY(A223,2)=1,WEEKDAY(A223,2)=3,WEEKDAY(A223,2)=5),1,0),IF(C223="Unterwoche",1,0)))</x:f>
        <x:v>1</x:v>
      </x:c>
      <x:c r="U223" s="213" t="n">
        <x:f>IF(B223="Betriebsferien",0,'00_Eingabe'!$G$24)</x:f>
        <x:v>8</x:v>
      </x:c>
    </x:row>
    <x:row r="224">
      <x:c r="A224" s="121" t="n">
        <x:f>IF(ROW()-4&lt;DATE('00_Eingabe'!$B$7+1,1,1)-DATE('00_Eingabe'!$B$7,1,1),DATE('00_Eingabe'!$B$7,1,1)+ROW()-4,"")</x:f>
        <x:v>45878</x:v>
      </x:c>
      <x:c r="B224" s="122" t="str">
        <x:f>IF(A224="","",IF(OR(AND(MONTH(A224)=12,DAY(A224)&gt;=20),AND(MONTH(A224)=1,DAY(A224)&lt;=2)),"Weihnachten",IF(OR(AND(MONTH(A224)=11,DAY(A224)&gt;=24),AND(MONTH(A224)=12,DAY(A224)&lt;=7)),"Betriebsferien",IF(OR(AND(MONTH(A224)=1,DAY(A224)&gt;=3),MONTH(A224)=2,MONTH(A224)=3,MONTH(A224)=4,MONTH(A224)=10,MONTH(A224)=11,AND(MONTH(A224)=12,DAY(A224)&lt;=15)),"Nebensaison","Hauptsaison"))))</x:f>
        <x:v>Hauptsaison</x:v>
      </x:c>
      <x:c r="C224" s="122" t="str">
        <x:f>IF(A224="","",IF(WEEKDAY(A224,2)&gt;=6,"Wochenende","Unterwoche"))</x:f>
        <x:v>Wochenende</x:v>
      </x:c>
      <x:c r="D224" s="123" t="n">
        <x:f>IF(A224="","",IF(N224&lt;&gt;"",N224,IF(B224="Nebensaison",IF(C224="Wochenende",'00_Eingabe'!$C$24,'00_Eingabe'!$B$24),IF(B224="Hauptsaison",IF(C224="Wochenende",'00_Eingabe'!$C$25,'00_Eingabe'!$B$25),IF(B224="Weihnachten",IF(C224="Wochenende",'00_Eingabe'!$C$26,'00_Eingabe'!$B$26),IF(C224="Wochenende",'00_Eingabe'!$C$27,'00_Eingabe'!$B$27))))))</x:f>
        <x:v>0.9</x:v>
      </x:c>
      <x:c r="E224" s="122" t="n">
        <x:f>IF(OR(A224="",D224=""),"",ROUND('00_Eingabe'!$B$8*D224,0))</x:f>
        <x:v>32</x:v>
      </x:c>
      <x:c r="F224" s="122" t="n">
        <x:f>IF(E224="","",ROUND(E224*'00_Eingabe'!$B$18,0))</x:f>
        <x:v>61</x:v>
      </x:c>
      <x:c r="G224" s="123" t="n">
        <x:f>IF(A224="","",IF(O224&lt;&gt;"",O224,IF(B224="Nebensaison",IF(C224="Wochenende",'00_Eingabe'!$E$24,'00_Eingabe'!$D$24),IF(B224="Hauptsaison",IF(C224="Wochenende",'00_Eingabe'!$E$25,'00_Eingabe'!$D$25),IF(B224="Weihnachten",IF(C224="Wochenende",'00_Eingabe'!$E$26,'00_Eingabe'!$D$26),IF(C224="Wochenende",'00_Eingabe'!$E$27,'00_Eingabe'!$D$27))))))</x:f>
        <x:v>0.9</x:v>
      </x:c>
      <x:c r="H224" s="122" t="n">
        <x:f>IF(OR(A224="",G224=""),"",ROUND('00_Eingabe'!$B$9*G224,0))</x:f>
        <x:v>4</x:v>
      </x:c>
      <x:c r="I224" s="122" t="n">
        <x:f>IF(H224="","",ROUND(H224*'00_Eingabe'!$B$19,0))</x:f>
        <x:v>9</x:v>
      </x:c>
      <x:c r="J224" s="122" t="n">
        <x:f>IF(OR(F224="",I224=""),"",F224+I224)</x:f>
        <x:v>70</x:v>
      </x:c>
      <x:c r="K224" s="122" t="n">
        <x:f>IF(J224="","",ROUND(J224*'00_Eingabe'!$B$16*(1+'00_Eingabe'!$B$14),0))</x:f>
        <x:v>81</x:v>
      </x:c>
      <x:c r="L224" s="122" t="n">
        <x:f>IF(B224="Betriebsferien",0,ROUND(J224*'00_Eingabe'!$B$40,0)+IF(C224="Wochenende",'00_Eingabe'!$B$42,'00_Eingabe'!$B$41))</x:f>
        <x:v>93</x:v>
      </x:c>
      <x:c r="M224" s="123" t="n">
        <x:f>IF(J224="","",ROUND(J224*'00_Eingabe'!$B$17*(1+'00_Eingabe'!$B$15),0))</x:f>
        <x:v>81</x:v>
      </x:c>
      <x:c r="N224" s="106"/>
      <x:c r="O224" s="106"/>
      <x:c r="P224" s="116"/>
      <x:c r="Q224" s="213" t="n">
        <x:f>IF(C224="Wochenende",1,0)</x:f>
        <x:v>1</x:v>
      </x:c>
      <x:c r="R224" s="213" t="n">
        <x:f>IF(AND(B224&lt;&gt;"Betriebsferien",OR(WEEKDAY(A224,2)=2,WEEKDAY(A224,2)=4)),1,0)</x:f>
        <x:v>0</x:v>
      </x:c>
      <x:c r="S224" s="214" t="n">
        <x:f>R224*MIN(1,'00_Eingabe'!$B$62/'00_Eingabe'!$B$61)</x:f>
        <x:v>0</x:v>
      </x:c>
      <x:c r="T224" s="213" t="n">
        <x:f>IF(B224="Betriebsferien",0,IF(B224="Nebensaison",IF(OR(WEEKDAY(A224,2)=1,WEEKDAY(A224,2)=3,WEEKDAY(A224,2)=5),1,0),IF(C224="Unterwoche",1,0)))</x:f>
        <x:v>0</x:v>
      </x:c>
      <x:c r="U224" s="213" t="n">
        <x:f>IF(B224="Betriebsferien",0,'00_Eingabe'!$G$24)</x:f>
        <x:v>8</x:v>
      </x:c>
    </x:row>
    <x:row r="225">
      <x:c r="A225" s="121" t="n">
        <x:f>IF(ROW()-4&lt;DATE('00_Eingabe'!$B$7+1,1,1)-DATE('00_Eingabe'!$B$7,1,1),DATE('00_Eingabe'!$B$7,1,1)+ROW()-4,"")</x:f>
        <x:v>45879</x:v>
      </x:c>
      <x:c r="B225" s="122" t="str">
        <x:f>IF(A225="","",IF(OR(AND(MONTH(A225)=12,DAY(A225)&gt;=20),AND(MONTH(A225)=1,DAY(A225)&lt;=2)),"Weihnachten",IF(OR(AND(MONTH(A225)=11,DAY(A225)&gt;=24),AND(MONTH(A225)=12,DAY(A225)&lt;=7)),"Betriebsferien",IF(OR(AND(MONTH(A225)=1,DAY(A225)&gt;=3),MONTH(A225)=2,MONTH(A225)=3,MONTH(A225)=4,MONTH(A225)=10,MONTH(A225)=11,AND(MONTH(A225)=12,DAY(A225)&lt;=15)),"Nebensaison","Hauptsaison"))))</x:f>
        <x:v>Hauptsaison</x:v>
      </x:c>
      <x:c r="C225" s="122" t="str">
        <x:f>IF(A225="","",IF(WEEKDAY(A225,2)&gt;=6,"Wochenende","Unterwoche"))</x:f>
        <x:v>Wochenende</x:v>
      </x:c>
      <x:c r="D225" s="123" t="n">
        <x:f>IF(A225="","",IF(N225&lt;&gt;"",N225,IF(B225="Nebensaison",IF(C225="Wochenende",'00_Eingabe'!$C$24,'00_Eingabe'!$B$24),IF(B225="Hauptsaison",IF(C225="Wochenende",'00_Eingabe'!$C$25,'00_Eingabe'!$B$25),IF(B225="Weihnachten",IF(C225="Wochenende",'00_Eingabe'!$C$26,'00_Eingabe'!$B$26),IF(C225="Wochenende",'00_Eingabe'!$C$27,'00_Eingabe'!$B$27))))))</x:f>
        <x:v>0.9</x:v>
      </x:c>
      <x:c r="E225" s="122" t="n">
        <x:f>IF(OR(A225="",D225=""),"",ROUND('00_Eingabe'!$B$8*D225,0))</x:f>
        <x:v>32</x:v>
      </x:c>
      <x:c r="F225" s="122" t="n">
        <x:f>IF(E225="","",ROUND(E225*'00_Eingabe'!$B$18,0))</x:f>
        <x:v>61</x:v>
      </x:c>
      <x:c r="G225" s="123" t="n">
        <x:f>IF(A225="","",IF(O225&lt;&gt;"",O225,IF(B225="Nebensaison",IF(C225="Wochenende",'00_Eingabe'!$E$24,'00_Eingabe'!$D$24),IF(B225="Hauptsaison",IF(C225="Wochenende",'00_Eingabe'!$E$25,'00_Eingabe'!$D$25),IF(B225="Weihnachten",IF(C225="Wochenende",'00_Eingabe'!$E$26,'00_Eingabe'!$D$26),IF(C225="Wochenende",'00_Eingabe'!$E$27,'00_Eingabe'!$D$27))))))</x:f>
        <x:v>0.9</x:v>
      </x:c>
      <x:c r="H225" s="122" t="n">
        <x:f>IF(OR(A225="",G225=""),"",ROUND('00_Eingabe'!$B$9*G225,0))</x:f>
        <x:v>4</x:v>
      </x:c>
      <x:c r="I225" s="122" t="n">
        <x:f>IF(H225="","",ROUND(H225*'00_Eingabe'!$B$19,0))</x:f>
        <x:v>9</x:v>
      </x:c>
      <x:c r="J225" s="122" t="n">
        <x:f>IF(OR(F225="",I225=""),"",F225+I225)</x:f>
        <x:v>70</x:v>
      </x:c>
      <x:c r="K225" s="122" t="n">
        <x:f>IF(J225="","",ROUND(J225*'00_Eingabe'!$B$16*(1+'00_Eingabe'!$B$14),0))</x:f>
        <x:v>81</x:v>
      </x:c>
      <x:c r="L225" s="122" t="n">
        <x:f>IF(B225="Betriebsferien",0,ROUND(J225*'00_Eingabe'!$B$40,0)+IF(C225="Wochenende",'00_Eingabe'!$B$42,'00_Eingabe'!$B$41))</x:f>
        <x:v>93</x:v>
      </x:c>
      <x:c r="M225" s="123" t="n">
        <x:f>IF(J225="","",ROUND(J225*'00_Eingabe'!$B$17*(1+'00_Eingabe'!$B$15),0))</x:f>
        <x:v>81</x:v>
      </x:c>
      <x:c r="N225" s="106"/>
      <x:c r="O225" s="106"/>
      <x:c r="P225" s="116"/>
      <x:c r="Q225" s="213" t="n">
        <x:f>IF(C225="Wochenende",1,0)</x:f>
        <x:v>1</x:v>
      </x:c>
      <x:c r="R225" s="213" t="n">
        <x:f>IF(AND(B225&lt;&gt;"Betriebsferien",OR(WEEKDAY(A225,2)=2,WEEKDAY(A225,2)=4)),1,0)</x:f>
        <x:v>0</x:v>
      </x:c>
      <x:c r="S225" s="214" t="n">
        <x:f>R225*MIN(1,'00_Eingabe'!$B$62/'00_Eingabe'!$B$61)</x:f>
        <x:v>0</x:v>
      </x:c>
      <x:c r="T225" s="213" t="n">
        <x:f>IF(B225="Betriebsferien",0,IF(B225="Nebensaison",IF(OR(WEEKDAY(A225,2)=1,WEEKDAY(A225,2)=3,WEEKDAY(A225,2)=5),1,0),IF(C225="Unterwoche",1,0)))</x:f>
        <x:v>0</x:v>
      </x:c>
      <x:c r="U225" s="213" t="n">
        <x:f>IF(B225="Betriebsferien",0,'00_Eingabe'!$G$24)</x:f>
        <x:v>8</x:v>
      </x:c>
    </x:row>
    <x:row r="226">
      <x:c r="A226" s="121" t="n">
        <x:f>IF(ROW()-4&lt;DATE('00_Eingabe'!$B$7+1,1,1)-DATE('00_Eingabe'!$B$7,1,1),DATE('00_Eingabe'!$B$7,1,1)+ROW()-4,"")</x:f>
        <x:v>45880</x:v>
      </x:c>
      <x:c r="B226" s="122" t="str">
        <x:f>IF(A226="","",IF(OR(AND(MONTH(A226)=12,DAY(A226)&gt;=20),AND(MONTH(A226)=1,DAY(A226)&lt;=2)),"Weihnachten",IF(OR(AND(MONTH(A226)=11,DAY(A226)&gt;=24),AND(MONTH(A226)=12,DAY(A226)&lt;=7)),"Betriebsferien",IF(OR(AND(MONTH(A226)=1,DAY(A226)&gt;=3),MONTH(A226)=2,MONTH(A226)=3,MONTH(A226)=4,MONTH(A226)=10,MONTH(A226)=11,AND(MONTH(A226)=12,DAY(A226)&lt;=15)),"Nebensaison","Hauptsaison"))))</x:f>
        <x:v>Hauptsaison</x:v>
      </x:c>
      <x:c r="C226" s="122" t="str">
        <x:f>IF(A226="","",IF(WEEKDAY(A226,2)&gt;=6,"Wochenende","Unterwoche"))</x:f>
        <x:v>Unterwoche</x:v>
      </x:c>
      <x:c r="D226" s="123" t="n">
        <x:f>IF(A226="","",IF(N226&lt;&gt;"",N226,IF(B226="Nebensaison",IF(C226="Wochenende",'00_Eingabe'!$C$24,'00_Eingabe'!$B$24),IF(B226="Hauptsaison",IF(C226="Wochenende",'00_Eingabe'!$C$25,'00_Eingabe'!$B$25),IF(B226="Weihnachten",IF(C226="Wochenende",'00_Eingabe'!$C$26,'00_Eingabe'!$B$26),IF(C226="Wochenende",'00_Eingabe'!$C$27,'00_Eingabe'!$B$27))))))</x:f>
        <x:v>0.85</x:v>
      </x:c>
      <x:c r="E226" s="122" t="n">
        <x:f>IF(OR(A226="",D226=""),"",ROUND('00_Eingabe'!$B$8*D226,0))</x:f>
        <x:v>30</x:v>
      </x:c>
      <x:c r="F226" s="122" t="n">
        <x:f>IF(E226="","",ROUND(E226*'00_Eingabe'!$B$18,0))</x:f>
        <x:v>57</x:v>
      </x:c>
      <x:c r="G226" s="123" t="n">
        <x:f>IF(A226="","",IF(O226&lt;&gt;"",O226,IF(B226="Nebensaison",IF(C226="Wochenende",'00_Eingabe'!$E$24,'00_Eingabe'!$D$24),IF(B226="Hauptsaison",IF(C226="Wochenende",'00_Eingabe'!$E$25,'00_Eingabe'!$D$25),IF(B226="Weihnachten",IF(C226="Wochenende",'00_Eingabe'!$E$26,'00_Eingabe'!$D$26),IF(C226="Wochenende",'00_Eingabe'!$E$27,'00_Eingabe'!$D$27))))))</x:f>
        <x:v>0.85</x:v>
      </x:c>
      <x:c r="H226" s="122" t="n">
        <x:f>IF(OR(A226="",G226=""),"",ROUND('00_Eingabe'!$B$9*G226,0))</x:f>
        <x:v>3</x:v>
      </x:c>
      <x:c r="I226" s="122" t="n">
        <x:f>IF(H226="","",ROUND(H226*'00_Eingabe'!$B$19,0))</x:f>
        <x:v>7</x:v>
      </x:c>
      <x:c r="J226" s="122" t="n">
        <x:f>IF(OR(F226="",I226=""),"",F226+I226)</x:f>
        <x:v>64</x:v>
      </x:c>
      <x:c r="K226" s="122" t="n">
        <x:f>IF(J226="","",ROUND(J226*'00_Eingabe'!$B$16*(1+'00_Eingabe'!$B$14),0))</x:f>
        <x:v>74</x:v>
      </x:c>
      <x:c r="L226" s="122" t="n">
        <x:f>IF(B226="Betriebsferien",0,ROUND(J226*'00_Eingabe'!$B$40,0)+IF(C226="Wochenende",'00_Eingabe'!$B$42,'00_Eingabe'!$B$41))</x:f>
        <x:v>63</x:v>
      </x:c>
      <x:c r="M226" s="123" t="n">
        <x:f>IF(J226="","",ROUND(J226*'00_Eingabe'!$B$17*(1+'00_Eingabe'!$B$15),0))</x:f>
        <x:v>74</x:v>
      </x:c>
      <x:c r="N226" s="106"/>
      <x:c r="O226" s="106"/>
      <x:c r="P226" s="116"/>
      <x:c r="Q226" s="213" t="n">
        <x:f>IF(C226="Wochenende",1,0)</x:f>
        <x:v>0</x:v>
      </x:c>
      <x:c r="R226" s="213" t="n">
        <x:f>IF(AND(B226&lt;&gt;"Betriebsferien",OR(WEEKDAY(A226,2)=2,WEEKDAY(A226,2)=4)),1,0)</x:f>
        <x:v>0</x:v>
      </x:c>
      <x:c r="S226" s="214" t="n">
        <x:f>R226*MIN(1,'00_Eingabe'!$B$62/'00_Eingabe'!$B$61)</x:f>
        <x:v>0</x:v>
      </x:c>
      <x:c r="T226" s="213" t="n">
        <x:f>IF(B226="Betriebsferien",0,IF(B226="Nebensaison",IF(OR(WEEKDAY(A226,2)=1,WEEKDAY(A226,2)=3,WEEKDAY(A226,2)=5),1,0),IF(C226="Unterwoche",1,0)))</x:f>
        <x:v>1</x:v>
      </x:c>
      <x:c r="U226" s="213" t="n">
        <x:f>IF(B226="Betriebsferien",0,'00_Eingabe'!$G$24)</x:f>
        <x:v>8</x:v>
      </x:c>
    </x:row>
    <x:row r="227">
      <x:c r="A227" s="121" t="n">
        <x:f>IF(ROW()-4&lt;DATE('00_Eingabe'!$B$7+1,1,1)-DATE('00_Eingabe'!$B$7,1,1),DATE('00_Eingabe'!$B$7,1,1)+ROW()-4,"")</x:f>
        <x:v>45881</x:v>
      </x:c>
      <x:c r="B227" s="122" t="str">
        <x:f>IF(A227="","",IF(OR(AND(MONTH(A227)=12,DAY(A227)&gt;=20),AND(MONTH(A227)=1,DAY(A227)&lt;=2)),"Weihnachten",IF(OR(AND(MONTH(A227)=11,DAY(A227)&gt;=24),AND(MONTH(A227)=12,DAY(A227)&lt;=7)),"Betriebsferien",IF(OR(AND(MONTH(A227)=1,DAY(A227)&gt;=3),MONTH(A227)=2,MONTH(A227)=3,MONTH(A227)=4,MONTH(A227)=10,MONTH(A227)=11,AND(MONTH(A227)=12,DAY(A227)&lt;=15)),"Nebensaison","Hauptsaison"))))</x:f>
        <x:v>Hauptsaison</x:v>
      </x:c>
      <x:c r="C227" s="122" t="str">
        <x:f>IF(A227="","",IF(WEEKDAY(A227,2)&gt;=6,"Wochenende","Unterwoche"))</x:f>
        <x:v>Unterwoche</x:v>
      </x:c>
      <x:c r="D227" s="123" t="n">
        <x:f>IF(A227="","",IF(N227&lt;&gt;"",N227,IF(B227="Nebensaison",IF(C227="Wochenende",'00_Eingabe'!$C$24,'00_Eingabe'!$B$24),IF(B227="Hauptsaison",IF(C227="Wochenende",'00_Eingabe'!$C$25,'00_Eingabe'!$B$25),IF(B227="Weihnachten",IF(C227="Wochenende",'00_Eingabe'!$C$26,'00_Eingabe'!$B$26),IF(C227="Wochenende",'00_Eingabe'!$C$27,'00_Eingabe'!$B$27))))))</x:f>
        <x:v>0.85</x:v>
      </x:c>
      <x:c r="E227" s="122" t="n">
        <x:f>IF(OR(A227="",D227=""),"",ROUND('00_Eingabe'!$B$8*D227,0))</x:f>
        <x:v>30</x:v>
      </x:c>
      <x:c r="F227" s="122" t="n">
        <x:f>IF(E227="","",ROUND(E227*'00_Eingabe'!$B$18,0))</x:f>
        <x:v>57</x:v>
      </x:c>
      <x:c r="G227" s="123" t="n">
        <x:f>IF(A227="","",IF(O227&lt;&gt;"",O227,IF(B227="Nebensaison",IF(C227="Wochenende",'00_Eingabe'!$E$24,'00_Eingabe'!$D$24),IF(B227="Hauptsaison",IF(C227="Wochenende",'00_Eingabe'!$E$25,'00_Eingabe'!$D$25),IF(B227="Weihnachten",IF(C227="Wochenende",'00_Eingabe'!$E$26,'00_Eingabe'!$D$26),IF(C227="Wochenende",'00_Eingabe'!$E$27,'00_Eingabe'!$D$27))))))</x:f>
        <x:v>0.85</x:v>
      </x:c>
      <x:c r="H227" s="122" t="n">
        <x:f>IF(OR(A227="",G227=""),"",ROUND('00_Eingabe'!$B$9*G227,0))</x:f>
        <x:v>3</x:v>
      </x:c>
      <x:c r="I227" s="122" t="n">
        <x:f>IF(H227="","",ROUND(H227*'00_Eingabe'!$B$19,0))</x:f>
        <x:v>7</x:v>
      </x:c>
      <x:c r="J227" s="122" t="n">
        <x:f>IF(OR(F227="",I227=""),"",F227+I227)</x:f>
        <x:v>64</x:v>
      </x:c>
      <x:c r="K227" s="122" t="n">
        <x:f>IF(J227="","",ROUND(J227*'00_Eingabe'!$B$16*(1+'00_Eingabe'!$B$14),0))</x:f>
        <x:v>74</x:v>
      </x:c>
      <x:c r="L227" s="122" t="n">
        <x:f>IF(B227="Betriebsferien",0,ROUND(J227*'00_Eingabe'!$B$40,0)+IF(C227="Wochenende",'00_Eingabe'!$B$42,'00_Eingabe'!$B$41))</x:f>
        <x:v>63</x:v>
      </x:c>
      <x:c r="M227" s="123" t="n">
        <x:f>IF(J227="","",ROUND(J227*'00_Eingabe'!$B$17*(1+'00_Eingabe'!$B$15),0))</x:f>
        <x:v>74</x:v>
      </x:c>
      <x:c r="N227" s="106"/>
      <x:c r="O227" s="106"/>
      <x:c r="P227" s="116"/>
      <x:c r="Q227" s="213" t="n">
        <x:f>IF(C227="Wochenende",1,0)</x:f>
        <x:v>0</x:v>
      </x:c>
      <x:c r="R227" s="213" t="n">
        <x:f>IF(AND(B227&lt;&gt;"Betriebsferien",OR(WEEKDAY(A227,2)=2,WEEKDAY(A227,2)=4)),1,0)</x:f>
        <x:v>1</x:v>
      </x:c>
      <x:c r="S227" s="214" t="n">
        <x:f>R227*MIN(1,'00_Eingabe'!$B$62/'00_Eingabe'!$B$61)</x:f>
        <x:v>0.5</x:v>
      </x:c>
      <x:c r="T227" s="213" t="n">
        <x:f>IF(B227="Betriebsferien",0,IF(B227="Nebensaison",IF(OR(WEEKDAY(A227,2)=1,WEEKDAY(A227,2)=3,WEEKDAY(A227,2)=5),1,0),IF(C227="Unterwoche",1,0)))</x:f>
        <x:v>1</x:v>
      </x:c>
      <x:c r="U227" s="213" t="n">
        <x:f>IF(B227="Betriebsferien",0,'00_Eingabe'!$G$24)</x:f>
        <x:v>8</x:v>
      </x:c>
    </x:row>
    <x:row r="228">
      <x:c r="A228" s="121" t="n">
        <x:f>IF(ROW()-4&lt;DATE('00_Eingabe'!$B$7+1,1,1)-DATE('00_Eingabe'!$B$7,1,1),DATE('00_Eingabe'!$B$7,1,1)+ROW()-4,"")</x:f>
        <x:v>45882</x:v>
      </x:c>
      <x:c r="B228" s="122" t="str">
        <x:f>IF(A228="","",IF(OR(AND(MONTH(A228)=12,DAY(A228)&gt;=20),AND(MONTH(A228)=1,DAY(A228)&lt;=2)),"Weihnachten",IF(OR(AND(MONTH(A228)=11,DAY(A228)&gt;=24),AND(MONTH(A228)=12,DAY(A228)&lt;=7)),"Betriebsferien",IF(OR(AND(MONTH(A228)=1,DAY(A228)&gt;=3),MONTH(A228)=2,MONTH(A228)=3,MONTH(A228)=4,MONTH(A228)=10,MONTH(A228)=11,AND(MONTH(A228)=12,DAY(A228)&lt;=15)),"Nebensaison","Hauptsaison"))))</x:f>
        <x:v>Hauptsaison</x:v>
      </x:c>
      <x:c r="C228" s="122" t="str">
        <x:f>IF(A228="","",IF(WEEKDAY(A228,2)&gt;=6,"Wochenende","Unterwoche"))</x:f>
        <x:v>Unterwoche</x:v>
      </x:c>
      <x:c r="D228" s="123" t="n">
        <x:f>IF(A228="","",IF(N228&lt;&gt;"",N228,IF(B228="Nebensaison",IF(C228="Wochenende",'00_Eingabe'!$C$24,'00_Eingabe'!$B$24),IF(B228="Hauptsaison",IF(C228="Wochenende",'00_Eingabe'!$C$25,'00_Eingabe'!$B$25),IF(B228="Weihnachten",IF(C228="Wochenende",'00_Eingabe'!$C$26,'00_Eingabe'!$B$26),IF(C228="Wochenende",'00_Eingabe'!$C$27,'00_Eingabe'!$B$27))))))</x:f>
        <x:v>0.85</x:v>
      </x:c>
      <x:c r="E228" s="122" t="n">
        <x:f>IF(OR(A228="",D228=""),"",ROUND('00_Eingabe'!$B$8*D228,0))</x:f>
        <x:v>30</x:v>
      </x:c>
      <x:c r="F228" s="122" t="n">
        <x:f>IF(E228="","",ROUND(E228*'00_Eingabe'!$B$18,0))</x:f>
        <x:v>57</x:v>
      </x:c>
      <x:c r="G228" s="123" t="n">
        <x:f>IF(A228="","",IF(O228&lt;&gt;"",O228,IF(B228="Nebensaison",IF(C228="Wochenende",'00_Eingabe'!$E$24,'00_Eingabe'!$D$24),IF(B228="Hauptsaison",IF(C228="Wochenende",'00_Eingabe'!$E$25,'00_Eingabe'!$D$25),IF(B228="Weihnachten",IF(C228="Wochenende",'00_Eingabe'!$E$26,'00_Eingabe'!$D$26),IF(C228="Wochenende",'00_Eingabe'!$E$27,'00_Eingabe'!$D$27))))))</x:f>
        <x:v>0.85</x:v>
      </x:c>
      <x:c r="H228" s="122" t="n">
        <x:f>IF(OR(A228="",G228=""),"",ROUND('00_Eingabe'!$B$9*G228,0))</x:f>
        <x:v>3</x:v>
      </x:c>
      <x:c r="I228" s="122" t="n">
        <x:f>IF(H228="","",ROUND(H228*'00_Eingabe'!$B$19,0))</x:f>
        <x:v>7</x:v>
      </x:c>
      <x:c r="J228" s="122" t="n">
        <x:f>IF(OR(F228="",I228=""),"",F228+I228)</x:f>
        <x:v>64</x:v>
      </x:c>
      <x:c r="K228" s="122" t="n">
        <x:f>IF(J228="","",ROUND(J228*'00_Eingabe'!$B$16*(1+'00_Eingabe'!$B$14),0))</x:f>
        <x:v>74</x:v>
      </x:c>
      <x:c r="L228" s="122" t="n">
        <x:f>IF(B228="Betriebsferien",0,ROUND(J228*'00_Eingabe'!$B$40,0)+IF(C228="Wochenende",'00_Eingabe'!$B$42,'00_Eingabe'!$B$41))</x:f>
        <x:v>63</x:v>
      </x:c>
      <x:c r="M228" s="123" t="n">
        <x:f>IF(J228="","",ROUND(J228*'00_Eingabe'!$B$17*(1+'00_Eingabe'!$B$15),0))</x:f>
        <x:v>74</x:v>
      </x:c>
      <x:c r="N228" s="106"/>
      <x:c r="O228" s="106"/>
      <x:c r="P228" s="116"/>
      <x:c r="Q228" s="213" t="n">
        <x:f>IF(C228="Wochenende",1,0)</x:f>
        <x:v>0</x:v>
      </x:c>
      <x:c r="R228" s="213" t="n">
        <x:f>IF(AND(B228&lt;&gt;"Betriebsferien",OR(WEEKDAY(A228,2)=2,WEEKDAY(A228,2)=4)),1,0)</x:f>
        <x:v>0</x:v>
      </x:c>
      <x:c r="S228" s="214" t="n">
        <x:f>R228*MIN(1,'00_Eingabe'!$B$62/'00_Eingabe'!$B$61)</x:f>
        <x:v>0</x:v>
      </x:c>
      <x:c r="T228" s="213" t="n">
        <x:f>IF(B228="Betriebsferien",0,IF(B228="Nebensaison",IF(OR(WEEKDAY(A228,2)=1,WEEKDAY(A228,2)=3,WEEKDAY(A228,2)=5),1,0),IF(C228="Unterwoche",1,0)))</x:f>
        <x:v>1</x:v>
      </x:c>
      <x:c r="U228" s="213" t="n">
        <x:f>IF(B228="Betriebsferien",0,'00_Eingabe'!$G$24)</x:f>
        <x:v>8</x:v>
      </x:c>
    </x:row>
    <x:row r="229">
      <x:c r="A229" s="121" t="n">
        <x:f>IF(ROW()-4&lt;DATE('00_Eingabe'!$B$7+1,1,1)-DATE('00_Eingabe'!$B$7,1,1),DATE('00_Eingabe'!$B$7,1,1)+ROW()-4,"")</x:f>
        <x:v>45883</x:v>
      </x:c>
      <x:c r="B229" s="122" t="str">
        <x:f>IF(A229="","",IF(OR(AND(MONTH(A229)=12,DAY(A229)&gt;=20),AND(MONTH(A229)=1,DAY(A229)&lt;=2)),"Weihnachten",IF(OR(AND(MONTH(A229)=11,DAY(A229)&gt;=24),AND(MONTH(A229)=12,DAY(A229)&lt;=7)),"Betriebsferien",IF(OR(AND(MONTH(A229)=1,DAY(A229)&gt;=3),MONTH(A229)=2,MONTH(A229)=3,MONTH(A229)=4,MONTH(A229)=10,MONTH(A229)=11,AND(MONTH(A229)=12,DAY(A229)&lt;=15)),"Nebensaison","Hauptsaison"))))</x:f>
        <x:v>Hauptsaison</x:v>
      </x:c>
      <x:c r="C229" s="122" t="str">
        <x:f>IF(A229="","",IF(WEEKDAY(A229,2)&gt;=6,"Wochenende","Unterwoche"))</x:f>
        <x:v>Unterwoche</x:v>
      </x:c>
      <x:c r="D229" s="123" t="n">
        <x:f>IF(A229="","",IF(N229&lt;&gt;"",N229,IF(B229="Nebensaison",IF(C229="Wochenende",'00_Eingabe'!$C$24,'00_Eingabe'!$B$24),IF(B229="Hauptsaison",IF(C229="Wochenende",'00_Eingabe'!$C$25,'00_Eingabe'!$B$25),IF(B229="Weihnachten",IF(C229="Wochenende",'00_Eingabe'!$C$26,'00_Eingabe'!$B$26),IF(C229="Wochenende",'00_Eingabe'!$C$27,'00_Eingabe'!$B$27))))))</x:f>
        <x:v>0.85</x:v>
      </x:c>
      <x:c r="E229" s="122" t="n">
        <x:f>IF(OR(A229="",D229=""),"",ROUND('00_Eingabe'!$B$8*D229,0))</x:f>
        <x:v>30</x:v>
      </x:c>
      <x:c r="F229" s="122" t="n">
        <x:f>IF(E229="","",ROUND(E229*'00_Eingabe'!$B$18,0))</x:f>
        <x:v>57</x:v>
      </x:c>
      <x:c r="G229" s="123" t="n">
        <x:f>IF(A229="","",IF(O229&lt;&gt;"",O229,IF(B229="Nebensaison",IF(C229="Wochenende",'00_Eingabe'!$E$24,'00_Eingabe'!$D$24),IF(B229="Hauptsaison",IF(C229="Wochenende",'00_Eingabe'!$E$25,'00_Eingabe'!$D$25),IF(B229="Weihnachten",IF(C229="Wochenende",'00_Eingabe'!$E$26,'00_Eingabe'!$D$26),IF(C229="Wochenende",'00_Eingabe'!$E$27,'00_Eingabe'!$D$27))))))</x:f>
        <x:v>0.85</x:v>
      </x:c>
      <x:c r="H229" s="122" t="n">
        <x:f>IF(OR(A229="",G229=""),"",ROUND('00_Eingabe'!$B$9*G229,0))</x:f>
        <x:v>3</x:v>
      </x:c>
      <x:c r="I229" s="122" t="n">
        <x:f>IF(H229="","",ROUND(H229*'00_Eingabe'!$B$19,0))</x:f>
        <x:v>7</x:v>
      </x:c>
      <x:c r="J229" s="122" t="n">
        <x:f>IF(OR(F229="",I229=""),"",F229+I229)</x:f>
        <x:v>64</x:v>
      </x:c>
      <x:c r="K229" s="122" t="n">
        <x:f>IF(J229="","",ROUND(J229*'00_Eingabe'!$B$16*(1+'00_Eingabe'!$B$14),0))</x:f>
        <x:v>74</x:v>
      </x:c>
      <x:c r="L229" s="122" t="n">
        <x:f>IF(B229="Betriebsferien",0,ROUND(J229*'00_Eingabe'!$B$40,0)+IF(C229="Wochenende",'00_Eingabe'!$B$42,'00_Eingabe'!$B$41))</x:f>
        <x:v>63</x:v>
      </x:c>
      <x:c r="M229" s="123" t="n">
        <x:f>IF(J229="","",ROUND(J229*'00_Eingabe'!$B$17*(1+'00_Eingabe'!$B$15),0))</x:f>
        <x:v>74</x:v>
      </x:c>
      <x:c r="N229" s="106"/>
      <x:c r="O229" s="106"/>
      <x:c r="P229" s="116"/>
      <x:c r="Q229" s="213" t="n">
        <x:f>IF(C229="Wochenende",1,0)</x:f>
        <x:v>0</x:v>
      </x:c>
      <x:c r="R229" s="213" t="n">
        <x:f>IF(AND(B229&lt;&gt;"Betriebsferien",OR(WEEKDAY(A229,2)=2,WEEKDAY(A229,2)=4)),1,0)</x:f>
        <x:v>1</x:v>
      </x:c>
      <x:c r="S229" s="214" t="n">
        <x:f>R229*MIN(1,'00_Eingabe'!$B$62/'00_Eingabe'!$B$61)</x:f>
        <x:v>0.5</x:v>
      </x:c>
      <x:c r="T229" s="213" t="n">
        <x:f>IF(B229="Betriebsferien",0,IF(B229="Nebensaison",IF(OR(WEEKDAY(A229,2)=1,WEEKDAY(A229,2)=3,WEEKDAY(A229,2)=5),1,0),IF(C229="Unterwoche",1,0)))</x:f>
        <x:v>1</x:v>
      </x:c>
      <x:c r="U229" s="213" t="n">
        <x:f>IF(B229="Betriebsferien",0,'00_Eingabe'!$G$24)</x:f>
        <x:v>8</x:v>
      </x:c>
    </x:row>
    <x:row r="230">
      <x:c r="A230" s="121" t="n">
        <x:f>IF(ROW()-4&lt;DATE('00_Eingabe'!$B$7+1,1,1)-DATE('00_Eingabe'!$B$7,1,1),DATE('00_Eingabe'!$B$7,1,1)+ROW()-4,"")</x:f>
        <x:v>45884</x:v>
      </x:c>
      <x:c r="B230" s="122" t="str">
        <x:f>IF(A230="","",IF(OR(AND(MONTH(A230)=12,DAY(A230)&gt;=20),AND(MONTH(A230)=1,DAY(A230)&lt;=2)),"Weihnachten",IF(OR(AND(MONTH(A230)=11,DAY(A230)&gt;=24),AND(MONTH(A230)=12,DAY(A230)&lt;=7)),"Betriebsferien",IF(OR(AND(MONTH(A230)=1,DAY(A230)&gt;=3),MONTH(A230)=2,MONTH(A230)=3,MONTH(A230)=4,MONTH(A230)=10,MONTH(A230)=11,AND(MONTH(A230)=12,DAY(A230)&lt;=15)),"Nebensaison","Hauptsaison"))))</x:f>
        <x:v>Hauptsaison</x:v>
      </x:c>
      <x:c r="C230" s="122" t="str">
        <x:f>IF(A230="","",IF(WEEKDAY(A230,2)&gt;=6,"Wochenende","Unterwoche"))</x:f>
        <x:v>Unterwoche</x:v>
      </x:c>
      <x:c r="D230" s="123" t="n">
        <x:f>IF(A230="","",IF(N230&lt;&gt;"",N230,IF(B230="Nebensaison",IF(C230="Wochenende",'00_Eingabe'!$C$24,'00_Eingabe'!$B$24),IF(B230="Hauptsaison",IF(C230="Wochenende",'00_Eingabe'!$C$25,'00_Eingabe'!$B$25),IF(B230="Weihnachten",IF(C230="Wochenende",'00_Eingabe'!$C$26,'00_Eingabe'!$B$26),IF(C230="Wochenende",'00_Eingabe'!$C$27,'00_Eingabe'!$B$27))))))</x:f>
        <x:v>0.85</x:v>
      </x:c>
      <x:c r="E230" s="122" t="n">
        <x:f>IF(OR(A230="",D230=""),"",ROUND('00_Eingabe'!$B$8*D230,0))</x:f>
        <x:v>30</x:v>
      </x:c>
      <x:c r="F230" s="122" t="n">
        <x:f>IF(E230="","",ROUND(E230*'00_Eingabe'!$B$18,0))</x:f>
        <x:v>57</x:v>
      </x:c>
      <x:c r="G230" s="123" t="n">
        <x:f>IF(A230="","",IF(O230&lt;&gt;"",O230,IF(B230="Nebensaison",IF(C230="Wochenende",'00_Eingabe'!$E$24,'00_Eingabe'!$D$24),IF(B230="Hauptsaison",IF(C230="Wochenende",'00_Eingabe'!$E$25,'00_Eingabe'!$D$25),IF(B230="Weihnachten",IF(C230="Wochenende",'00_Eingabe'!$E$26,'00_Eingabe'!$D$26),IF(C230="Wochenende",'00_Eingabe'!$E$27,'00_Eingabe'!$D$27))))))</x:f>
        <x:v>0.85</x:v>
      </x:c>
      <x:c r="H230" s="122" t="n">
        <x:f>IF(OR(A230="",G230=""),"",ROUND('00_Eingabe'!$B$9*G230,0))</x:f>
        <x:v>3</x:v>
      </x:c>
      <x:c r="I230" s="122" t="n">
        <x:f>IF(H230="","",ROUND(H230*'00_Eingabe'!$B$19,0))</x:f>
        <x:v>7</x:v>
      </x:c>
      <x:c r="J230" s="122" t="n">
        <x:f>IF(OR(F230="",I230=""),"",F230+I230)</x:f>
        <x:v>64</x:v>
      </x:c>
      <x:c r="K230" s="122" t="n">
        <x:f>IF(J230="","",ROUND(J230*'00_Eingabe'!$B$16*(1+'00_Eingabe'!$B$14),0))</x:f>
        <x:v>74</x:v>
      </x:c>
      <x:c r="L230" s="122" t="n">
        <x:f>IF(B230="Betriebsferien",0,ROUND(J230*'00_Eingabe'!$B$40,0)+IF(C230="Wochenende",'00_Eingabe'!$B$42,'00_Eingabe'!$B$41))</x:f>
        <x:v>63</x:v>
      </x:c>
      <x:c r="M230" s="123" t="n">
        <x:f>IF(J230="","",ROUND(J230*'00_Eingabe'!$B$17*(1+'00_Eingabe'!$B$15),0))</x:f>
        <x:v>74</x:v>
      </x:c>
      <x:c r="N230" s="106"/>
      <x:c r="O230" s="106"/>
      <x:c r="P230" s="116"/>
      <x:c r="Q230" s="213" t="n">
        <x:f>IF(C230="Wochenende",1,0)</x:f>
        <x:v>0</x:v>
      </x:c>
      <x:c r="R230" s="213" t="n">
        <x:f>IF(AND(B230&lt;&gt;"Betriebsferien",OR(WEEKDAY(A230,2)=2,WEEKDAY(A230,2)=4)),1,0)</x:f>
        <x:v>0</x:v>
      </x:c>
      <x:c r="S230" s="214" t="n">
        <x:f>R230*MIN(1,'00_Eingabe'!$B$62/'00_Eingabe'!$B$61)</x:f>
        <x:v>0</x:v>
      </x:c>
      <x:c r="T230" s="213" t="n">
        <x:f>IF(B230="Betriebsferien",0,IF(B230="Nebensaison",IF(OR(WEEKDAY(A230,2)=1,WEEKDAY(A230,2)=3,WEEKDAY(A230,2)=5),1,0),IF(C230="Unterwoche",1,0)))</x:f>
        <x:v>1</x:v>
      </x:c>
      <x:c r="U230" s="213" t="n">
        <x:f>IF(B230="Betriebsferien",0,'00_Eingabe'!$G$24)</x:f>
        <x:v>8</x:v>
      </x:c>
    </x:row>
    <x:row r="231">
      <x:c r="A231" s="121" t="n">
        <x:f>IF(ROW()-4&lt;DATE('00_Eingabe'!$B$7+1,1,1)-DATE('00_Eingabe'!$B$7,1,1),DATE('00_Eingabe'!$B$7,1,1)+ROW()-4,"")</x:f>
        <x:v>45885</x:v>
      </x:c>
      <x:c r="B231" s="122" t="str">
        <x:f>IF(A231="","",IF(OR(AND(MONTH(A231)=12,DAY(A231)&gt;=20),AND(MONTH(A231)=1,DAY(A231)&lt;=2)),"Weihnachten",IF(OR(AND(MONTH(A231)=11,DAY(A231)&gt;=24),AND(MONTH(A231)=12,DAY(A231)&lt;=7)),"Betriebsferien",IF(OR(AND(MONTH(A231)=1,DAY(A231)&gt;=3),MONTH(A231)=2,MONTH(A231)=3,MONTH(A231)=4,MONTH(A231)=10,MONTH(A231)=11,AND(MONTH(A231)=12,DAY(A231)&lt;=15)),"Nebensaison","Hauptsaison"))))</x:f>
        <x:v>Hauptsaison</x:v>
      </x:c>
      <x:c r="C231" s="122" t="str">
        <x:f>IF(A231="","",IF(WEEKDAY(A231,2)&gt;=6,"Wochenende","Unterwoche"))</x:f>
        <x:v>Wochenende</x:v>
      </x:c>
      <x:c r="D231" s="123" t="n">
        <x:f>IF(A231="","",IF(N231&lt;&gt;"",N231,IF(B231="Nebensaison",IF(C231="Wochenende",'00_Eingabe'!$C$24,'00_Eingabe'!$B$24),IF(B231="Hauptsaison",IF(C231="Wochenende",'00_Eingabe'!$C$25,'00_Eingabe'!$B$25),IF(B231="Weihnachten",IF(C231="Wochenende",'00_Eingabe'!$C$26,'00_Eingabe'!$B$26),IF(C231="Wochenende",'00_Eingabe'!$C$27,'00_Eingabe'!$B$27))))))</x:f>
        <x:v>0.9</x:v>
      </x:c>
      <x:c r="E231" s="122" t="n">
        <x:f>IF(OR(A231="",D231=""),"",ROUND('00_Eingabe'!$B$8*D231,0))</x:f>
        <x:v>32</x:v>
      </x:c>
      <x:c r="F231" s="122" t="n">
        <x:f>IF(E231="","",ROUND(E231*'00_Eingabe'!$B$18,0))</x:f>
        <x:v>61</x:v>
      </x:c>
      <x:c r="G231" s="123" t="n">
        <x:f>IF(A231="","",IF(O231&lt;&gt;"",O231,IF(B231="Nebensaison",IF(C231="Wochenende",'00_Eingabe'!$E$24,'00_Eingabe'!$D$24),IF(B231="Hauptsaison",IF(C231="Wochenende",'00_Eingabe'!$E$25,'00_Eingabe'!$D$25),IF(B231="Weihnachten",IF(C231="Wochenende",'00_Eingabe'!$E$26,'00_Eingabe'!$D$26),IF(C231="Wochenende",'00_Eingabe'!$E$27,'00_Eingabe'!$D$27))))))</x:f>
        <x:v>0.9</x:v>
      </x:c>
      <x:c r="H231" s="122" t="n">
        <x:f>IF(OR(A231="",G231=""),"",ROUND('00_Eingabe'!$B$9*G231,0))</x:f>
        <x:v>4</x:v>
      </x:c>
      <x:c r="I231" s="122" t="n">
        <x:f>IF(H231="","",ROUND(H231*'00_Eingabe'!$B$19,0))</x:f>
        <x:v>9</x:v>
      </x:c>
      <x:c r="J231" s="122" t="n">
        <x:f>IF(OR(F231="",I231=""),"",F231+I231)</x:f>
        <x:v>70</x:v>
      </x:c>
      <x:c r="K231" s="122" t="n">
        <x:f>IF(J231="","",ROUND(J231*'00_Eingabe'!$B$16*(1+'00_Eingabe'!$B$14),0))</x:f>
        <x:v>81</x:v>
      </x:c>
      <x:c r="L231" s="122" t="n">
        <x:f>IF(B231="Betriebsferien",0,ROUND(J231*'00_Eingabe'!$B$40,0)+IF(C231="Wochenende",'00_Eingabe'!$B$42,'00_Eingabe'!$B$41))</x:f>
        <x:v>93</x:v>
      </x:c>
      <x:c r="M231" s="123" t="n">
        <x:f>IF(J231="","",ROUND(J231*'00_Eingabe'!$B$17*(1+'00_Eingabe'!$B$15),0))</x:f>
        <x:v>81</x:v>
      </x:c>
      <x:c r="N231" s="106"/>
      <x:c r="O231" s="106"/>
      <x:c r="P231" s="116"/>
      <x:c r="Q231" s="213" t="n">
        <x:f>IF(C231="Wochenende",1,0)</x:f>
        <x:v>1</x:v>
      </x:c>
      <x:c r="R231" s="213" t="n">
        <x:f>IF(AND(B231&lt;&gt;"Betriebsferien",OR(WEEKDAY(A231,2)=2,WEEKDAY(A231,2)=4)),1,0)</x:f>
        <x:v>0</x:v>
      </x:c>
      <x:c r="S231" s="214" t="n">
        <x:f>R231*MIN(1,'00_Eingabe'!$B$62/'00_Eingabe'!$B$61)</x:f>
        <x:v>0</x:v>
      </x:c>
      <x:c r="T231" s="213" t="n">
        <x:f>IF(B231="Betriebsferien",0,IF(B231="Nebensaison",IF(OR(WEEKDAY(A231,2)=1,WEEKDAY(A231,2)=3,WEEKDAY(A231,2)=5),1,0),IF(C231="Unterwoche",1,0)))</x:f>
        <x:v>0</x:v>
      </x:c>
      <x:c r="U231" s="213" t="n">
        <x:f>IF(B231="Betriebsferien",0,'00_Eingabe'!$G$24)</x:f>
        <x:v>8</x:v>
      </x:c>
    </x:row>
    <x:row r="232">
      <x:c r="A232" s="121" t="n">
        <x:f>IF(ROW()-4&lt;DATE('00_Eingabe'!$B$7+1,1,1)-DATE('00_Eingabe'!$B$7,1,1),DATE('00_Eingabe'!$B$7,1,1)+ROW()-4,"")</x:f>
        <x:v>45886</x:v>
      </x:c>
      <x:c r="B232" s="122" t="str">
        <x:f>IF(A232="","",IF(OR(AND(MONTH(A232)=12,DAY(A232)&gt;=20),AND(MONTH(A232)=1,DAY(A232)&lt;=2)),"Weihnachten",IF(OR(AND(MONTH(A232)=11,DAY(A232)&gt;=24),AND(MONTH(A232)=12,DAY(A232)&lt;=7)),"Betriebsferien",IF(OR(AND(MONTH(A232)=1,DAY(A232)&gt;=3),MONTH(A232)=2,MONTH(A232)=3,MONTH(A232)=4,MONTH(A232)=10,MONTH(A232)=11,AND(MONTH(A232)=12,DAY(A232)&lt;=15)),"Nebensaison","Hauptsaison"))))</x:f>
        <x:v>Hauptsaison</x:v>
      </x:c>
      <x:c r="C232" s="122" t="str">
        <x:f>IF(A232="","",IF(WEEKDAY(A232,2)&gt;=6,"Wochenende","Unterwoche"))</x:f>
        <x:v>Wochenende</x:v>
      </x:c>
      <x:c r="D232" s="123" t="n">
        <x:f>IF(A232="","",IF(N232&lt;&gt;"",N232,IF(B232="Nebensaison",IF(C232="Wochenende",'00_Eingabe'!$C$24,'00_Eingabe'!$B$24),IF(B232="Hauptsaison",IF(C232="Wochenende",'00_Eingabe'!$C$25,'00_Eingabe'!$B$25),IF(B232="Weihnachten",IF(C232="Wochenende",'00_Eingabe'!$C$26,'00_Eingabe'!$B$26),IF(C232="Wochenende",'00_Eingabe'!$C$27,'00_Eingabe'!$B$27))))))</x:f>
        <x:v>0.9</x:v>
      </x:c>
      <x:c r="E232" s="122" t="n">
        <x:f>IF(OR(A232="",D232=""),"",ROUND('00_Eingabe'!$B$8*D232,0))</x:f>
        <x:v>32</x:v>
      </x:c>
      <x:c r="F232" s="122" t="n">
        <x:f>IF(E232="","",ROUND(E232*'00_Eingabe'!$B$18,0))</x:f>
        <x:v>61</x:v>
      </x:c>
      <x:c r="G232" s="123" t="n">
        <x:f>IF(A232="","",IF(O232&lt;&gt;"",O232,IF(B232="Nebensaison",IF(C232="Wochenende",'00_Eingabe'!$E$24,'00_Eingabe'!$D$24),IF(B232="Hauptsaison",IF(C232="Wochenende",'00_Eingabe'!$E$25,'00_Eingabe'!$D$25),IF(B232="Weihnachten",IF(C232="Wochenende",'00_Eingabe'!$E$26,'00_Eingabe'!$D$26),IF(C232="Wochenende",'00_Eingabe'!$E$27,'00_Eingabe'!$D$27))))))</x:f>
        <x:v>0.9</x:v>
      </x:c>
      <x:c r="H232" s="122" t="n">
        <x:f>IF(OR(A232="",G232=""),"",ROUND('00_Eingabe'!$B$9*G232,0))</x:f>
        <x:v>4</x:v>
      </x:c>
      <x:c r="I232" s="122" t="n">
        <x:f>IF(H232="","",ROUND(H232*'00_Eingabe'!$B$19,0))</x:f>
        <x:v>9</x:v>
      </x:c>
      <x:c r="J232" s="122" t="n">
        <x:f>IF(OR(F232="",I232=""),"",F232+I232)</x:f>
        <x:v>70</x:v>
      </x:c>
      <x:c r="K232" s="122" t="n">
        <x:f>IF(J232="","",ROUND(J232*'00_Eingabe'!$B$16*(1+'00_Eingabe'!$B$14),0))</x:f>
        <x:v>81</x:v>
      </x:c>
      <x:c r="L232" s="122" t="n">
        <x:f>IF(B232="Betriebsferien",0,ROUND(J232*'00_Eingabe'!$B$40,0)+IF(C232="Wochenende",'00_Eingabe'!$B$42,'00_Eingabe'!$B$41))</x:f>
        <x:v>93</x:v>
      </x:c>
      <x:c r="M232" s="123" t="n">
        <x:f>IF(J232="","",ROUND(J232*'00_Eingabe'!$B$17*(1+'00_Eingabe'!$B$15),0))</x:f>
        <x:v>81</x:v>
      </x:c>
      <x:c r="N232" s="106"/>
      <x:c r="O232" s="106"/>
      <x:c r="P232" s="116"/>
      <x:c r="Q232" s="213" t="n">
        <x:f>IF(C232="Wochenende",1,0)</x:f>
        <x:v>1</x:v>
      </x:c>
      <x:c r="R232" s="213" t="n">
        <x:f>IF(AND(B232&lt;&gt;"Betriebsferien",OR(WEEKDAY(A232,2)=2,WEEKDAY(A232,2)=4)),1,0)</x:f>
        <x:v>0</x:v>
      </x:c>
      <x:c r="S232" s="214" t="n">
        <x:f>R232*MIN(1,'00_Eingabe'!$B$62/'00_Eingabe'!$B$61)</x:f>
        <x:v>0</x:v>
      </x:c>
      <x:c r="T232" s="213" t="n">
        <x:f>IF(B232="Betriebsferien",0,IF(B232="Nebensaison",IF(OR(WEEKDAY(A232,2)=1,WEEKDAY(A232,2)=3,WEEKDAY(A232,2)=5),1,0),IF(C232="Unterwoche",1,0)))</x:f>
        <x:v>0</x:v>
      </x:c>
      <x:c r="U232" s="213" t="n">
        <x:f>IF(B232="Betriebsferien",0,'00_Eingabe'!$G$24)</x:f>
        <x:v>8</x:v>
      </x:c>
    </x:row>
    <x:row r="233">
      <x:c r="A233" s="121" t="n">
        <x:f>IF(ROW()-4&lt;DATE('00_Eingabe'!$B$7+1,1,1)-DATE('00_Eingabe'!$B$7,1,1),DATE('00_Eingabe'!$B$7,1,1)+ROW()-4,"")</x:f>
        <x:v>45887</x:v>
      </x:c>
      <x:c r="B233" s="122" t="str">
        <x:f>IF(A233="","",IF(OR(AND(MONTH(A233)=12,DAY(A233)&gt;=20),AND(MONTH(A233)=1,DAY(A233)&lt;=2)),"Weihnachten",IF(OR(AND(MONTH(A233)=11,DAY(A233)&gt;=24),AND(MONTH(A233)=12,DAY(A233)&lt;=7)),"Betriebsferien",IF(OR(AND(MONTH(A233)=1,DAY(A233)&gt;=3),MONTH(A233)=2,MONTH(A233)=3,MONTH(A233)=4,MONTH(A233)=10,MONTH(A233)=11,AND(MONTH(A233)=12,DAY(A233)&lt;=15)),"Nebensaison","Hauptsaison"))))</x:f>
        <x:v>Hauptsaison</x:v>
      </x:c>
      <x:c r="C233" s="122" t="str">
        <x:f>IF(A233="","",IF(WEEKDAY(A233,2)&gt;=6,"Wochenende","Unterwoche"))</x:f>
        <x:v>Unterwoche</x:v>
      </x:c>
      <x:c r="D233" s="123" t="n">
        <x:f>IF(A233="","",IF(N233&lt;&gt;"",N233,IF(B233="Nebensaison",IF(C233="Wochenende",'00_Eingabe'!$C$24,'00_Eingabe'!$B$24),IF(B233="Hauptsaison",IF(C233="Wochenende",'00_Eingabe'!$C$25,'00_Eingabe'!$B$25),IF(B233="Weihnachten",IF(C233="Wochenende",'00_Eingabe'!$C$26,'00_Eingabe'!$B$26),IF(C233="Wochenende",'00_Eingabe'!$C$27,'00_Eingabe'!$B$27))))))</x:f>
        <x:v>0.85</x:v>
      </x:c>
      <x:c r="E233" s="122" t="n">
        <x:f>IF(OR(A233="",D233=""),"",ROUND('00_Eingabe'!$B$8*D233,0))</x:f>
        <x:v>30</x:v>
      </x:c>
      <x:c r="F233" s="122" t="n">
        <x:f>IF(E233="","",ROUND(E233*'00_Eingabe'!$B$18,0))</x:f>
        <x:v>57</x:v>
      </x:c>
      <x:c r="G233" s="123" t="n">
        <x:f>IF(A233="","",IF(O233&lt;&gt;"",O233,IF(B233="Nebensaison",IF(C233="Wochenende",'00_Eingabe'!$E$24,'00_Eingabe'!$D$24),IF(B233="Hauptsaison",IF(C233="Wochenende",'00_Eingabe'!$E$25,'00_Eingabe'!$D$25),IF(B233="Weihnachten",IF(C233="Wochenende",'00_Eingabe'!$E$26,'00_Eingabe'!$D$26),IF(C233="Wochenende",'00_Eingabe'!$E$27,'00_Eingabe'!$D$27))))))</x:f>
        <x:v>0.85</x:v>
      </x:c>
      <x:c r="H233" s="122" t="n">
        <x:f>IF(OR(A233="",G233=""),"",ROUND('00_Eingabe'!$B$9*G233,0))</x:f>
        <x:v>3</x:v>
      </x:c>
      <x:c r="I233" s="122" t="n">
        <x:f>IF(H233="","",ROUND(H233*'00_Eingabe'!$B$19,0))</x:f>
        <x:v>7</x:v>
      </x:c>
      <x:c r="J233" s="122" t="n">
        <x:f>IF(OR(F233="",I233=""),"",F233+I233)</x:f>
        <x:v>64</x:v>
      </x:c>
      <x:c r="K233" s="122" t="n">
        <x:f>IF(J233="","",ROUND(J233*'00_Eingabe'!$B$16*(1+'00_Eingabe'!$B$14),0))</x:f>
        <x:v>74</x:v>
      </x:c>
      <x:c r="L233" s="122" t="n">
        <x:f>IF(B233="Betriebsferien",0,ROUND(J233*'00_Eingabe'!$B$40,0)+IF(C233="Wochenende",'00_Eingabe'!$B$42,'00_Eingabe'!$B$41))</x:f>
        <x:v>63</x:v>
      </x:c>
      <x:c r="M233" s="123" t="n">
        <x:f>IF(J233="","",ROUND(J233*'00_Eingabe'!$B$17*(1+'00_Eingabe'!$B$15),0))</x:f>
        <x:v>74</x:v>
      </x:c>
      <x:c r="N233" s="106"/>
      <x:c r="O233" s="106"/>
      <x:c r="P233" s="116"/>
      <x:c r="Q233" s="213" t="n">
        <x:f>IF(C233="Wochenende",1,0)</x:f>
        <x:v>0</x:v>
      </x:c>
      <x:c r="R233" s="213" t="n">
        <x:f>IF(AND(B233&lt;&gt;"Betriebsferien",OR(WEEKDAY(A233,2)=2,WEEKDAY(A233,2)=4)),1,0)</x:f>
        <x:v>0</x:v>
      </x:c>
      <x:c r="S233" s="214" t="n">
        <x:f>R233*MIN(1,'00_Eingabe'!$B$62/'00_Eingabe'!$B$61)</x:f>
        <x:v>0</x:v>
      </x:c>
      <x:c r="T233" s="213" t="n">
        <x:f>IF(B233="Betriebsferien",0,IF(B233="Nebensaison",IF(OR(WEEKDAY(A233,2)=1,WEEKDAY(A233,2)=3,WEEKDAY(A233,2)=5),1,0),IF(C233="Unterwoche",1,0)))</x:f>
        <x:v>1</x:v>
      </x:c>
      <x:c r="U233" s="213" t="n">
        <x:f>IF(B233="Betriebsferien",0,'00_Eingabe'!$G$24)</x:f>
        <x:v>8</x:v>
      </x:c>
    </x:row>
    <x:row r="234">
      <x:c r="A234" s="121" t="n">
        <x:f>IF(ROW()-4&lt;DATE('00_Eingabe'!$B$7+1,1,1)-DATE('00_Eingabe'!$B$7,1,1),DATE('00_Eingabe'!$B$7,1,1)+ROW()-4,"")</x:f>
        <x:v>45888</x:v>
      </x:c>
      <x:c r="B234" s="122" t="str">
        <x:f>IF(A234="","",IF(OR(AND(MONTH(A234)=12,DAY(A234)&gt;=20),AND(MONTH(A234)=1,DAY(A234)&lt;=2)),"Weihnachten",IF(OR(AND(MONTH(A234)=11,DAY(A234)&gt;=24),AND(MONTH(A234)=12,DAY(A234)&lt;=7)),"Betriebsferien",IF(OR(AND(MONTH(A234)=1,DAY(A234)&gt;=3),MONTH(A234)=2,MONTH(A234)=3,MONTH(A234)=4,MONTH(A234)=10,MONTH(A234)=11,AND(MONTH(A234)=12,DAY(A234)&lt;=15)),"Nebensaison","Hauptsaison"))))</x:f>
        <x:v>Hauptsaison</x:v>
      </x:c>
      <x:c r="C234" s="122" t="str">
        <x:f>IF(A234="","",IF(WEEKDAY(A234,2)&gt;=6,"Wochenende","Unterwoche"))</x:f>
        <x:v>Unterwoche</x:v>
      </x:c>
      <x:c r="D234" s="123" t="n">
        <x:f>IF(A234="","",IF(N234&lt;&gt;"",N234,IF(B234="Nebensaison",IF(C234="Wochenende",'00_Eingabe'!$C$24,'00_Eingabe'!$B$24),IF(B234="Hauptsaison",IF(C234="Wochenende",'00_Eingabe'!$C$25,'00_Eingabe'!$B$25),IF(B234="Weihnachten",IF(C234="Wochenende",'00_Eingabe'!$C$26,'00_Eingabe'!$B$26),IF(C234="Wochenende",'00_Eingabe'!$C$27,'00_Eingabe'!$B$27))))))</x:f>
        <x:v>0.85</x:v>
      </x:c>
      <x:c r="E234" s="122" t="n">
        <x:f>IF(OR(A234="",D234=""),"",ROUND('00_Eingabe'!$B$8*D234,0))</x:f>
        <x:v>30</x:v>
      </x:c>
      <x:c r="F234" s="122" t="n">
        <x:f>IF(E234="","",ROUND(E234*'00_Eingabe'!$B$18,0))</x:f>
        <x:v>57</x:v>
      </x:c>
      <x:c r="G234" s="123" t="n">
        <x:f>IF(A234="","",IF(O234&lt;&gt;"",O234,IF(B234="Nebensaison",IF(C234="Wochenende",'00_Eingabe'!$E$24,'00_Eingabe'!$D$24),IF(B234="Hauptsaison",IF(C234="Wochenende",'00_Eingabe'!$E$25,'00_Eingabe'!$D$25),IF(B234="Weihnachten",IF(C234="Wochenende",'00_Eingabe'!$E$26,'00_Eingabe'!$D$26),IF(C234="Wochenende",'00_Eingabe'!$E$27,'00_Eingabe'!$D$27))))))</x:f>
        <x:v>0.85</x:v>
      </x:c>
      <x:c r="H234" s="122" t="n">
        <x:f>IF(OR(A234="",G234=""),"",ROUND('00_Eingabe'!$B$9*G234,0))</x:f>
        <x:v>3</x:v>
      </x:c>
      <x:c r="I234" s="122" t="n">
        <x:f>IF(H234="","",ROUND(H234*'00_Eingabe'!$B$19,0))</x:f>
        <x:v>7</x:v>
      </x:c>
      <x:c r="J234" s="122" t="n">
        <x:f>IF(OR(F234="",I234=""),"",F234+I234)</x:f>
        <x:v>64</x:v>
      </x:c>
      <x:c r="K234" s="122" t="n">
        <x:f>IF(J234="","",ROUND(J234*'00_Eingabe'!$B$16*(1+'00_Eingabe'!$B$14),0))</x:f>
        <x:v>74</x:v>
      </x:c>
      <x:c r="L234" s="122" t="n">
        <x:f>IF(B234="Betriebsferien",0,ROUND(J234*'00_Eingabe'!$B$40,0)+IF(C234="Wochenende",'00_Eingabe'!$B$42,'00_Eingabe'!$B$41))</x:f>
        <x:v>63</x:v>
      </x:c>
      <x:c r="M234" s="123" t="n">
        <x:f>IF(J234="","",ROUND(J234*'00_Eingabe'!$B$17*(1+'00_Eingabe'!$B$15),0))</x:f>
        <x:v>74</x:v>
      </x:c>
      <x:c r="N234" s="106"/>
      <x:c r="O234" s="106"/>
      <x:c r="P234" s="116"/>
      <x:c r="Q234" s="213" t="n">
        <x:f>IF(C234="Wochenende",1,0)</x:f>
        <x:v>0</x:v>
      </x:c>
      <x:c r="R234" s="213" t="n">
        <x:f>IF(AND(B234&lt;&gt;"Betriebsferien",OR(WEEKDAY(A234,2)=2,WEEKDAY(A234,2)=4)),1,0)</x:f>
        <x:v>1</x:v>
      </x:c>
      <x:c r="S234" s="214" t="n">
        <x:f>R234*MIN(1,'00_Eingabe'!$B$62/'00_Eingabe'!$B$61)</x:f>
        <x:v>0.5</x:v>
      </x:c>
      <x:c r="T234" s="213" t="n">
        <x:f>IF(B234="Betriebsferien",0,IF(B234="Nebensaison",IF(OR(WEEKDAY(A234,2)=1,WEEKDAY(A234,2)=3,WEEKDAY(A234,2)=5),1,0),IF(C234="Unterwoche",1,0)))</x:f>
        <x:v>1</x:v>
      </x:c>
      <x:c r="U234" s="213" t="n">
        <x:f>IF(B234="Betriebsferien",0,'00_Eingabe'!$G$24)</x:f>
        <x:v>8</x:v>
      </x:c>
    </x:row>
    <x:row r="235">
      <x:c r="A235" s="121" t="n">
        <x:f>IF(ROW()-4&lt;DATE('00_Eingabe'!$B$7+1,1,1)-DATE('00_Eingabe'!$B$7,1,1),DATE('00_Eingabe'!$B$7,1,1)+ROW()-4,"")</x:f>
        <x:v>45889</x:v>
      </x:c>
      <x:c r="B235" s="122" t="str">
        <x:f>IF(A235="","",IF(OR(AND(MONTH(A235)=12,DAY(A235)&gt;=20),AND(MONTH(A235)=1,DAY(A235)&lt;=2)),"Weihnachten",IF(OR(AND(MONTH(A235)=11,DAY(A235)&gt;=24),AND(MONTH(A235)=12,DAY(A235)&lt;=7)),"Betriebsferien",IF(OR(AND(MONTH(A235)=1,DAY(A235)&gt;=3),MONTH(A235)=2,MONTH(A235)=3,MONTH(A235)=4,MONTH(A235)=10,MONTH(A235)=11,AND(MONTH(A235)=12,DAY(A235)&lt;=15)),"Nebensaison","Hauptsaison"))))</x:f>
        <x:v>Hauptsaison</x:v>
      </x:c>
      <x:c r="C235" s="122" t="str">
        <x:f>IF(A235="","",IF(WEEKDAY(A235,2)&gt;=6,"Wochenende","Unterwoche"))</x:f>
        <x:v>Unterwoche</x:v>
      </x:c>
      <x:c r="D235" s="123" t="n">
        <x:f>IF(A235="","",IF(N235&lt;&gt;"",N235,IF(B235="Nebensaison",IF(C235="Wochenende",'00_Eingabe'!$C$24,'00_Eingabe'!$B$24),IF(B235="Hauptsaison",IF(C235="Wochenende",'00_Eingabe'!$C$25,'00_Eingabe'!$B$25),IF(B235="Weihnachten",IF(C235="Wochenende",'00_Eingabe'!$C$26,'00_Eingabe'!$B$26),IF(C235="Wochenende",'00_Eingabe'!$C$27,'00_Eingabe'!$B$27))))))</x:f>
        <x:v>0.85</x:v>
      </x:c>
      <x:c r="E235" s="122" t="n">
        <x:f>IF(OR(A235="",D235=""),"",ROUND('00_Eingabe'!$B$8*D235,0))</x:f>
        <x:v>30</x:v>
      </x:c>
      <x:c r="F235" s="122" t="n">
        <x:f>IF(E235="","",ROUND(E235*'00_Eingabe'!$B$18,0))</x:f>
        <x:v>57</x:v>
      </x:c>
      <x:c r="G235" s="123" t="n">
        <x:f>IF(A235="","",IF(O235&lt;&gt;"",O235,IF(B235="Nebensaison",IF(C235="Wochenende",'00_Eingabe'!$E$24,'00_Eingabe'!$D$24),IF(B235="Hauptsaison",IF(C235="Wochenende",'00_Eingabe'!$E$25,'00_Eingabe'!$D$25),IF(B235="Weihnachten",IF(C235="Wochenende",'00_Eingabe'!$E$26,'00_Eingabe'!$D$26),IF(C235="Wochenende",'00_Eingabe'!$E$27,'00_Eingabe'!$D$27))))))</x:f>
        <x:v>0.85</x:v>
      </x:c>
      <x:c r="H235" s="122" t="n">
        <x:f>IF(OR(A235="",G235=""),"",ROUND('00_Eingabe'!$B$9*G235,0))</x:f>
        <x:v>3</x:v>
      </x:c>
      <x:c r="I235" s="122" t="n">
        <x:f>IF(H235="","",ROUND(H235*'00_Eingabe'!$B$19,0))</x:f>
        <x:v>7</x:v>
      </x:c>
      <x:c r="J235" s="122" t="n">
        <x:f>IF(OR(F235="",I235=""),"",F235+I235)</x:f>
        <x:v>64</x:v>
      </x:c>
      <x:c r="K235" s="122" t="n">
        <x:f>IF(J235="","",ROUND(J235*'00_Eingabe'!$B$16*(1+'00_Eingabe'!$B$14),0))</x:f>
        <x:v>74</x:v>
      </x:c>
      <x:c r="L235" s="122" t="n">
        <x:f>IF(B235="Betriebsferien",0,ROUND(J235*'00_Eingabe'!$B$40,0)+IF(C235="Wochenende",'00_Eingabe'!$B$42,'00_Eingabe'!$B$41))</x:f>
        <x:v>63</x:v>
      </x:c>
      <x:c r="M235" s="123" t="n">
        <x:f>IF(J235="","",ROUND(J235*'00_Eingabe'!$B$17*(1+'00_Eingabe'!$B$15),0))</x:f>
        <x:v>74</x:v>
      </x:c>
      <x:c r="N235" s="106"/>
      <x:c r="O235" s="106"/>
      <x:c r="P235" s="116"/>
      <x:c r="Q235" s="213" t="n">
        <x:f>IF(C235="Wochenende",1,0)</x:f>
        <x:v>0</x:v>
      </x:c>
      <x:c r="R235" s="213" t="n">
        <x:f>IF(AND(B235&lt;&gt;"Betriebsferien",OR(WEEKDAY(A235,2)=2,WEEKDAY(A235,2)=4)),1,0)</x:f>
        <x:v>0</x:v>
      </x:c>
      <x:c r="S235" s="214" t="n">
        <x:f>R235*MIN(1,'00_Eingabe'!$B$62/'00_Eingabe'!$B$61)</x:f>
        <x:v>0</x:v>
      </x:c>
      <x:c r="T235" s="213" t="n">
        <x:f>IF(B235="Betriebsferien",0,IF(B235="Nebensaison",IF(OR(WEEKDAY(A235,2)=1,WEEKDAY(A235,2)=3,WEEKDAY(A235,2)=5),1,0),IF(C235="Unterwoche",1,0)))</x:f>
        <x:v>1</x:v>
      </x:c>
      <x:c r="U235" s="213" t="n">
        <x:f>IF(B235="Betriebsferien",0,'00_Eingabe'!$G$24)</x:f>
        <x:v>8</x:v>
      </x:c>
    </x:row>
    <x:row r="236">
      <x:c r="A236" s="121" t="n">
        <x:f>IF(ROW()-4&lt;DATE('00_Eingabe'!$B$7+1,1,1)-DATE('00_Eingabe'!$B$7,1,1),DATE('00_Eingabe'!$B$7,1,1)+ROW()-4,"")</x:f>
        <x:v>45890</x:v>
      </x:c>
      <x:c r="B236" s="122" t="str">
        <x:f>IF(A236="","",IF(OR(AND(MONTH(A236)=12,DAY(A236)&gt;=20),AND(MONTH(A236)=1,DAY(A236)&lt;=2)),"Weihnachten",IF(OR(AND(MONTH(A236)=11,DAY(A236)&gt;=24),AND(MONTH(A236)=12,DAY(A236)&lt;=7)),"Betriebsferien",IF(OR(AND(MONTH(A236)=1,DAY(A236)&gt;=3),MONTH(A236)=2,MONTH(A236)=3,MONTH(A236)=4,MONTH(A236)=10,MONTH(A236)=11,AND(MONTH(A236)=12,DAY(A236)&lt;=15)),"Nebensaison","Hauptsaison"))))</x:f>
        <x:v>Hauptsaison</x:v>
      </x:c>
      <x:c r="C236" s="122" t="str">
        <x:f>IF(A236="","",IF(WEEKDAY(A236,2)&gt;=6,"Wochenende","Unterwoche"))</x:f>
        <x:v>Unterwoche</x:v>
      </x:c>
      <x:c r="D236" s="123" t="n">
        <x:f>IF(A236="","",IF(N236&lt;&gt;"",N236,IF(B236="Nebensaison",IF(C236="Wochenende",'00_Eingabe'!$C$24,'00_Eingabe'!$B$24),IF(B236="Hauptsaison",IF(C236="Wochenende",'00_Eingabe'!$C$25,'00_Eingabe'!$B$25),IF(B236="Weihnachten",IF(C236="Wochenende",'00_Eingabe'!$C$26,'00_Eingabe'!$B$26),IF(C236="Wochenende",'00_Eingabe'!$C$27,'00_Eingabe'!$B$27))))))</x:f>
        <x:v>0.85</x:v>
      </x:c>
      <x:c r="E236" s="122" t="n">
        <x:f>IF(OR(A236="",D236=""),"",ROUND('00_Eingabe'!$B$8*D236,0))</x:f>
        <x:v>30</x:v>
      </x:c>
      <x:c r="F236" s="122" t="n">
        <x:f>IF(E236="","",ROUND(E236*'00_Eingabe'!$B$18,0))</x:f>
        <x:v>57</x:v>
      </x:c>
      <x:c r="G236" s="123" t="n">
        <x:f>IF(A236="","",IF(O236&lt;&gt;"",O236,IF(B236="Nebensaison",IF(C236="Wochenende",'00_Eingabe'!$E$24,'00_Eingabe'!$D$24),IF(B236="Hauptsaison",IF(C236="Wochenende",'00_Eingabe'!$E$25,'00_Eingabe'!$D$25),IF(B236="Weihnachten",IF(C236="Wochenende",'00_Eingabe'!$E$26,'00_Eingabe'!$D$26),IF(C236="Wochenende",'00_Eingabe'!$E$27,'00_Eingabe'!$D$27))))))</x:f>
        <x:v>0.85</x:v>
      </x:c>
      <x:c r="H236" s="122" t="n">
        <x:f>IF(OR(A236="",G236=""),"",ROUND('00_Eingabe'!$B$9*G236,0))</x:f>
        <x:v>3</x:v>
      </x:c>
      <x:c r="I236" s="122" t="n">
        <x:f>IF(H236="","",ROUND(H236*'00_Eingabe'!$B$19,0))</x:f>
        <x:v>7</x:v>
      </x:c>
      <x:c r="J236" s="122" t="n">
        <x:f>IF(OR(F236="",I236=""),"",F236+I236)</x:f>
        <x:v>64</x:v>
      </x:c>
      <x:c r="K236" s="122" t="n">
        <x:f>IF(J236="","",ROUND(J236*'00_Eingabe'!$B$16*(1+'00_Eingabe'!$B$14),0))</x:f>
        <x:v>74</x:v>
      </x:c>
      <x:c r="L236" s="122" t="n">
        <x:f>IF(B236="Betriebsferien",0,ROUND(J236*'00_Eingabe'!$B$40,0)+IF(C236="Wochenende",'00_Eingabe'!$B$42,'00_Eingabe'!$B$41))</x:f>
        <x:v>63</x:v>
      </x:c>
      <x:c r="M236" s="123" t="n">
        <x:f>IF(J236="","",ROUND(J236*'00_Eingabe'!$B$17*(1+'00_Eingabe'!$B$15),0))</x:f>
        <x:v>74</x:v>
      </x:c>
      <x:c r="N236" s="106"/>
      <x:c r="O236" s="106"/>
      <x:c r="P236" s="116"/>
      <x:c r="Q236" s="213" t="n">
        <x:f>IF(C236="Wochenende",1,0)</x:f>
        <x:v>0</x:v>
      </x:c>
      <x:c r="R236" s="213" t="n">
        <x:f>IF(AND(B236&lt;&gt;"Betriebsferien",OR(WEEKDAY(A236,2)=2,WEEKDAY(A236,2)=4)),1,0)</x:f>
        <x:v>1</x:v>
      </x:c>
      <x:c r="S236" s="214" t="n">
        <x:f>R236*MIN(1,'00_Eingabe'!$B$62/'00_Eingabe'!$B$61)</x:f>
        <x:v>0.5</x:v>
      </x:c>
      <x:c r="T236" s="213" t="n">
        <x:f>IF(B236="Betriebsferien",0,IF(B236="Nebensaison",IF(OR(WEEKDAY(A236,2)=1,WEEKDAY(A236,2)=3,WEEKDAY(A236,2)=5),1,0),IF(C236="Unterwoche",1,0)))</x:f>
        <x:v>1</x:v>
      </x:c>
      <x:c r="U236" s="213" t="n">
        <x:f>IF(B236="Betriebsferien",0,'00_Eingabe'!$G$24)</x:f>
        <x:v>8</x:v>
      </x:c>
    </x:row>
    <x:row r="237">
      <x:c r="A237" s="121" t="n">
        <x:f>IF(ROW()-4&lt;DATE('00_Eingabe'!$B$7+1,1,1)-DATE('00_Eingabe'!$B$7,1,1),DATE('00_Eingabe'!$B$7,1,1)+ROW()-4,"")</x:f>
        <x:v>45891</x:v>
      </x:c>
      <x:c r="B237" s="122" t="str">
        <x:f>IF(A237="","",IF(OR(AND(MONTH(A237)=12,DAY(A237)&gt;=20),AND(MONTH(A237)=1,DAY(A237)&lt;=2)),"Weihnachten",IF(OR(AND(MONTH(A237)=11,DAY(A237)&gt;=24),AND(MONTH(A237)=12,DAY(A237)&lt;=7)),"Betriebsferien",IF(OR(AND(MONTH(A237)=1,DAY(A237)&gt;=3),MONTH(A237)=2,MONTH(A237)=3,MONTH(A237)=4,MONTH(A237)=10,MONTH(A237)=11,AND(MONTH(A237)=12,DAY(A237)&lt;=15)),"Nebensaison","Hauptsaison"))))</x:f>
        <x:v>Hauptsaison</x:v>
      </x:c>
      <x:c r="C237" s="122" t="str">
        <x:f>IF(A237="","",IF(WEEKDAY(A237,2)&gt;=6,"Wochenende","Unterwoche"))</x:f>
        <x:v>Unterwoche</x:v>
      </x:c>
      <x:c r="D237" s="123" t="n">
        <x:f>IF(A237="","",IF(N237&lt;&gt;"",N237,IF(B237="Nebensaison",IF(C237="Wochenende",'00_Eingabe'!$C$24,'00_Eingabe'!$B$24),IF(B237="Hauptsaison",IF(C237="Wochenende",'00_Eingabe'!$C$25,'00_Eingabe'!$B$25),IF(B237="Weihnachten",IF(C237="Wochenende",'00_Eingabe'!$C$26,'00_Eingabe'!$B$26),IF(C237="Wochenende",'00_Eingabe'!$C$27,'00_Eingabe'!$B$27))))))</x:f>
        <x:v>0.85</x:v>
      </x:c>
      <x:c r="E237" s="122" t="n">
        <x:f>IF(OR(A237="",D237=""),"",ROUND('00_Eingabe'!$B$8*D237,0))</x:f>
        <x:v>30</x:v>
      </x:c>
      <x:c r="F237" s="122" t="n">
        <x:f>IF(E237="","",ROUND(E237*'00_Eingabe'!$B$18,0))</x:f>
        <x:v>57</x:v>
      </x:c>
      <x:c r="G237" s="123" t="n">
        <x:f>IF(A237="","",IF(O237&lt;&gt;"",O237,IF(B237="Nebensaison",IF(C237="Wochenende",'00_Eingabe'!$E$24,'00_Eingabe'!$D$24),IF(B237="Hauptsaison",IF(C237="Wochenende",'00_Eingabe'!$E$25,'00_Eingabe'!$D$25),IF(B237="Weihnachten",IF(C237="Wochenende",'00_Eingabe'!$E$26,'00_Eingabe'!$D$26),IF(C237="Wochenende",'00_Eingabe'!$E$27,'00_Eingabe'!$D$27))))))</x:f>
        <x:v>0.85</x:v>
      </x:c>
      <x:c r="H237" s="122" t="n">
        <x:f>IF(OR(A237="",G237=""),"",ROUND('00_Eingabe'!$B$9*G237,0))</x:f>
        <x:v>3</x:v>
      </x:c>
      <x:c r="I237" s="122" t="n">
        <x:f>IF(H237="","",ROUND(H237*'00_Eingabe'!$B$19,0))</x:f>
        <x:v>7</x:v>
      </x:c>
      <x:c r="J237" s="122" t="n">
        <x:f>IF(OR(F237="",I237=""),"",F237+I237)</x:f>
        <x:v>64</x:v>
      </x:c>
      <x:c r="K237" s="122" t="n">
        <x:f>IF(J237="","",ROUND(J237*'00_Eingabe'!$B$16*(1+'00_Eingabe'!$B$14),0))</x:f>
        <x:v>74</x:v>
      </x:c>
      <x:c r="L237" s="122" t="n">
        <x:f>IF(B237="Betriebsferien",0,ROUND(J237*'00_Eingabe'!$B$40,0)+IF(C237="Wochenende",'00_Eingabe'!$B$42,'00_Eingabe'!$B$41))</x:f>
        <x:v>63</x:v>
      </x:c>
      <x:c r="M237" s="123" t="n">
        <x:f>IF(J237="","",ROUND(J237*'00_Eingabe'!$B$17*(1+'00_Eingabe'!$B$15),0))</x:f>
        <x:v>74</x:v>
      </x:c>
      <x:c r="N237" s="106"/>
      <x:c r="O237" s="106"/>
      <x:c r="P237" s="116"/>
      <x:c r="Q237" s="213" t="n">
        <x:f>IF(C237="Wochenende",1,0)</x:f>
        <x:v>0</x:v>
      </x:c>
      <x:c r="R237" s="213" t="n">
        <x:f>IF(AND(B237&lt;&gt;"Betriebsferien",OR(WEEKDAY(A237,2)=2,WEEKDAY(A237,2)=4)),1,0)</x:f>
        <x:v>0</x:v>
      </x:c>
      <x:c r="S237" s="214" t="n">
        <x:f>R237*MIN(1,'00_Eingabe'!$B$62/'00_Eingabe'!$B$61)</x:f>
        <x:v>0</x:v>
      </x:c>
      <x:c r="T237" s="213" t="n">
        <x:f>IF(B237="Betriebsferien",0,IF(B237="Nebensaison",IF(OR(WEEKDAY(A237,2)=1,WEEKDAY(A237,2)=3,WEEKDAY(A237,2)=5),1,0),IF(C237="Unterwoche",1,0)))</x:f>
        <x:v>1</x:v>
      </x:c>
      <x:c r="U237" s="213" t="n">
        <x:f>IF(B237="Betriebsferien",0,'00_Eingabe'!$G$24)</x:f>
        <x:v>8</x:v>
      </x:c>
    </x:row>
    <x:row r="238">
      <x:c r="A238" s="121" t="n">
        <x:f>IF(ROW()-4&lt;DATE('00_Eingabe'!$B$7+1,1,1)-DATE('00_Eingabe'!$B$7,1,1),DATE('00_Eingabe'!$B$7,1,1)+ROW()-4,"")</x:f>
        <x:v>45892</x:v>
      </x:c>
      <x:c r="B238" s="122" t="str">
        <x:f>IF(A238="","",IF(OR(AND(MONTH(A238)=12,DAY(A238)&gt;=20),AND(MONTH(A238)=1,DAY(A238)&lt;=2)),"Weihnachten",IF(OR(AND(MONTH(A238)=11,DAY(A238)&gt;=24),AND(MONTH(A238)=12,DAY(A238)&lt;=7)),"Betriebsferien",IF(OR(AND(MONTH(A238)=1,DAY(A238)&gt;=3),MONTH(A238)=2,MONTH(A238)=3,MONTH(A238)=4,MONTH(A238)=10,MONTH(A238)=11,AND(MONTH(A238)=12,DAY(A238)&lt;=15)),"Nebensaison","Hauptsaison"))))</x:f>
        <x:v>Hauptsaison</x:v>
      </x:c>
      <x:c r="C238" s="122" t="str">
        <x:f>IF(A238="","",IF(WEEKDAY(A238,2)&gt;=6,"Wochenende","Unterwoche"))</x:f>
        <x:v>Wochenende</x:v>
      </x:c>
      <x:c r="D238" s="123" t="n">
        <x:f>IF(A238="","",IF(N238&lt;&gt;"",N238,IF(B238="Nebensaison",IF(C238="Wochenende",'00_Eingabe'!$C$24,'00_Eingabe'!$B$24),IF(B238="Hauptsaison",IF(C238="Wochenende",'00_Eingabe'!$C$25,'00_Eingabe'!$B$25),IF(B238="Weihnachten",IF(C238="Wochenende",'00_Eingabe'!$C$26,'00_Eingabe'!$B$26),IF(C238="Wochenende",'00_Eingabe'!$C$27,'00_Eingabe'!$B$27))))))</x:f>
        <x:v>0.9</x:v>
      </x:c>
      <x:c r="E238" s="122" t="n">
        <x:f>IF(OR(A238="",D238=""),"",ROUND('00_Eingabe'!$B$8*D238,0))</x:f>
        <x:v>32</x:v>
      </x:c>
      <x:c r="F238" s="122" t="n">
        <x:f>IF(E238="","",ROUND(E238*'00_Eingabe'!$B$18,0))</x:f>
        <x:v>61</x:v>
      </x:c>
      <x:c r="G238" s="123" t="n">
        <x:f>IF(A238="","",IF(O238&lt;&gt;"",O238,IF(B238="Nebensaison",IF(C238="Wochenende",'00_Eingabe'!$E$24,'00_Eingabe'!$D$24),IF(B238="Hauptsaison",IF(C238="Wochenende",'00_Eingabe'!$E$25,'00_Eingabe'!$D$25),IF(B238="Weihnachten",IF(C238="Wochenende",'00_Eingabe'!$E$26,'00_Eingabe'!$D$26),IF(C238="Wochenende",'00_Eingabe'!$E$27,'00_Eingabe'!$D$27))))))</x:f>
        <x:v>0.9</x:v>
      </x:c>
      <x:c r="H238" s="122" t="n">
        <x:f>IF(OR(A238="",G238=""),"",ROUND('00_Eingabe'!$B$9*G238,0))</x:f>
        <x:v>4</x:v>
      </x:c>
      <x:c r="I238" s="122" t="n">
        <x:f>IF(H238="","",ROUND(H238*'00_Eingabe'!$B$19,0))</x:f>
        <x:v>9</x:v>
      </x:c>
      <x:c r="J238" s="122" t="n">
        <x:f>IF(OR(F238="",I238=""),"",F238+I238)</x:f>
        <x:v>70</x:v>
      </x:c>
      <x:c r="K238" s="122" t="n">
        <x:f>IF(J238="","",ROUND(J238*'00_Eingabe'!$B$16*(1+'00_Eingabe'!$B$14),0))</x:f>
        <x:v>81</x:v>
      </x:c>
      <x:c r="L238" s="122" t="n">
        <x:f>IF(B238="Betriebsferien",0,ROUND(J238*'00_Eingabe'!$B$40,0)+IF(C238="Wochenende",'00_Eingabe'!$B$42,'00_Eingabe'!$B$41))</x:f>
        <x:v>93</x:v>
      </x:c>
      <x:c r="M238" s="123" t="n">
        <x:f>IF(J238="","",ROUND(J238*'00_Eingabe'!$B$17*(1+'00_Eingabe'!$B$15),0))</x:f>
        <x:v>81</x:v>
      </x:c>
      <x:c r="N238" s="106"/>
      <x:c r="O238" s="106"/>
      <x:c r="P238" s="116"/>
      <x:c r="Q238" s="213" t="n">
        <x:f>IF(C238="Wochenende",1,0)</x:f>
        <x:v>1</x:v>
      </x:c>
      <x:c r="R238" s="213" t="n">
        <x:f>IF(AND(B238&lt;&gt;"Betriebsferien",OR(WEEKDAY(A238,2)=2,WEEKDAY(A238,2)=4)),1,0)</x:f>
        <x:v>0</x:v>
      </x:c>
      <x:c r="S238" s="214" t="n">
        <x:f>R238*MIN(1,'00_Eingabe'!$B$62/'00_Eingabe'!$B$61)</x:f>
        <x:v>0</x:v>
      </x:c>
      <x:c r="T238" s="213" t="n">
        <x:f>IF(B238="Betriebsferien",0,IF(B238="Nebensaison",IF(OR(WEEKDAY(A238,2)=1,WEEKDAY(A238,2)=3,WEEKDAY(A238,2)=5),1,0),IF(C238="Unterwoche",1,0)))</x:f>
        <x:v>0</x:v>
      </x:c>
      <x:c r="U238" s="213" t="n">
        <x:f>IF(B238="Betriebsferien",0,'00_Eingabe'!$G$24)</x:f>
        <x:v>8</x:v>
      </x:c>
    </x:row>
    <x:row r="239">
      <x:c r="A239" s="121" t="n">
        <x:f>IF(ROW()-4&lt;DATE('00_Eingabe'!$B$7+1,1,1)-DATE('00_Eingabe'!$B$7,1,1),DATE('00_Eingabe'!$B$7,1,1)+ROW()-4,"")</x:f>
        <x:v>45893</x:v>
      </x:c>
      <x:c r="B239" s="122" t="str">
        <x:f>IF(A239="","",IF(OR(AND(MONTH(A239)=12,DAY(A239)&gt;=20),AND(MONTH(A239)=1,DAY(A239)&lt;=2)),"Weihnachten",IF(OR(AND(MONTH(A239)=11,DAY(A239)&gt;=24),AND(MONTH(A239)=12,DAY(A239)&lt;=7)),"Betriebsferien",IF(OR(AND(MONTH(A239)=1,DAY(A239)&gt;=3),MONTH(A239)=2,MONTH(A239)=3,MONTH(A239)=4,MONTH(A239)=10,MONTH(A239)=11,AND(MONTH(A239)=12,DAY(A239)&lt;=15)),"Nebensaison","Hauptsaison"))))</x:f>
        <x:v>Hauptsaison</x:v>
      </x:c>
      <x:c r="C239" s="122" t="str">
        <x:f>IF(A239="","",IF(WEEKDAY(A239,2)&gt;=6,"Wochenende","Unterwoche"))</x:f>
        <x:v>Wochenende</x:v>
      </x:c>
      <x:c r="D239" s="123" t="n">
        <x:f>IF(A239="","",IF(N239&lt;&gt;"",N239,IF(B239="Nebensaison",IF(C239="Wochenende",'00_Eingabe'!$C$24,'00_Eingabe'!$B$24),IF(B239="Hauptsaison",IF(C239="Wochenende",'00_Eingabe'!$C$25,'00_Eingabe'!$B$25),IF(B239="Weihnachten",IF(C239="Wochenende",'00_Eingabe'!$C$26,'00_Eingabe'!$B$26),IF(C239="Wochenende",'00_Eingabe'!$C$27,'00_Eingabe'!$B$27))))))</x:f>
        <x:v>0.9</x:v>
      </x:c>
      <x:c r="E239" s="122" t="n">
        <x:f>IF(OR(A239="",D239=""),"",ROUND('00_Eingabe'!$B$8*D239,0))</x:f>
        <x:v>32</x:v>
      </x:c>
      <x:c r="F239" s="122" t="n">
        <x:f>IF(E239="","",ROUND(E239*'00_Eingabe'!$B$18,0))</x:f>
        <x:v>61</x:v>
      </x:c>
      <x:c r="G239" s="123" t="n">
        <x:f>IF(A239="","",IF(O239&lt;&gt;"",O239,IF(B239="Nebensaison",IF(C239="Wochenende",'00_Eingabe'!$E$24,'00_Eingabe'!$D$24),IF(B239="Hauptsaison",IF(C239="Wochenende",'00_Eingabe'!$E$25,'00_Eingabe'!$D$25),IF(B239="Weihnachten",IF(C239="Wochenende",'00_Eingabe'!$E$26,'00_Eingabe'!$D$26),IF(C239="Wochenende",'00_Eingabe'!$E$27,'00_Eingabe'!$D$27))))))</x:f>
        <x:v>0.9</x:v>
      </x:c>
      <x:c r="H239" s="122" t="n">
        <x:f>IF(OR(A239="",G239=""),"",ROUND('00_Eingabe'!$B$9*G239,0))</x:f>
        <x:v>4</x:v>
      </x:c>
      <x:c r="I239" s="122" t="n">
        <x:f>IF(H239="","",ROUND(H239*'00_Eingabe'!$B$19,0))</x:f>
        <x:v>9</x:v>
      </x:c>
      <x:c r="J239" s="122" t="n">
        <x:f>IF(OR(F239="",I239=""),"",F239+I239)</x:f>
        <x:v>70</x:v>
      </x:c>
      <x:c r="K239" s="122" t="n">
        <x:f>IF(J239="","",ROUND(J239*'00_Eingabe'!$B$16*(1+'00_Eingabe'!$B$14),0))</x:f>
        <x:v>81</x:v>
      </x:c>
      <x:c r="L239" s="122" t="n">
        <x:f>IF(B239="Betriebsferien",0,ROUND(J239*'00_Eingabe'!$B$40,0)+IF(C239="Wochenende",'00_Eingabe'!$B$42,'00_Eingabe'!$B$41))</x:f>
        <x:v>93</x:v>
      </x:c>
      <x:c r="M239" s="123" t="n">
        <x:f>IF(J239="","",ROUND(J239*'00_Eingabe'!$B$17*(1+'00_Eingabe'!$B$15),0))</x:f>
        <x:v>81</x:v>
      </x:c>
      <x:c r="N239" s="106"/>
      <x:c r="O239" s="106"/>
      <x:c r="P239" s="116"/>
      <x:c r="Q239" s="213" t="n">
        <x:f>IF(C239="Wochenende",1,0)</x:f>
        <x:v>1</x:v>
      </x:c>
      <x:c r="R239" s="213" t="n">
        <x:f>IF(AND(B239&lt;&gt;"Betriebsferien",OR(WEEKDAY(A239,2)=2,WEEKDAY(A239,2)=4)),1,0)</x:f>
        <x:v>0</x:v>
      </x:c>
      <x:c r="S239" s="214" t="n">
        <x:f>R239*MIN(1,'00_Eingabe'!$B$62/'00_Eingabe'!$B$61)</x:f>
        <x:v>0</x:v>
      </x:c>
      <x:c r="T239" s="213" t="n">
        <x:f>IF(B239="Betriebsferien",0,IF(B239="Nebensaison",IF(OR(WEEKDAY(A239,2)=1,WEEKDAY(A239,2)=3,WEEKDAY(A239,2)=5),1,0),IF(C239="Unterwoche",1,0)))</x:f>
        <x:v>0</x:v>
      </x:c>
      <x:c r="U239" s="213" t="n">
        <x:f>IF(B239="Betriebsferien",0,'00_Eingabe'!$G$24)</x:f>
        <x:v>8</x:v>
      </x:c>
    </x:row>
    <x:row r="240">
      <x:c r="A240" s="121" t="n">
        <x:f>IF(ROW()-4&lt;DATE('00_Eingabe'!$B$7+1,1,1)-DATE('00_Eingabe'!$B$7,1,1),DATE('00_Eingabe'!$B$7,1,1)+ROW()-4,"")</x:f>
        <x:v>45894</x:v>
      </x:c>
      <x:c r="B240" s="122" t="str">
        <x:f>IF(A240="","",IF(OR(AND(MONTH(A240)=12,DAY(A240)&gt;=20),AND(MONTH(A240)=1,DAY(A240)&lt;=2)),"Weihnachten",IF(OR(AND(MONTH(A240)=11,DAY(A240)&gt;=24),AND(MONTH(A240)=12,DAY(A240)&lt;=7)),"Betriebsferien",IF(OR(AND(MONTH(A240)=1,DAY(A240)&gt;=3),MONTH(A240)=2,MONTH(A240)=3,MONTH(A240)=4,MONTH(A240)=10,MONTH(A240)=11,AND(MONTH(A240)=12,DAY(A240)&lt;=15)),"Nebensaison","Hauptsaison"))))</x:f>
        <x:v>Hauptsaison</x:v>
      </x:c>
      <x:c r="C240" s="122" t="str">
        <x:f>IF(A240="","",IF(WEEKDAY(A240,2)&gt;=6,"Wochenende","Unterwoche"))</x:f>
        <x:v>Unterwoche</x:v>
      </x:c>
      <x:c r="D240" s="123" t="n">
        <x:f>IF(A240="","",IF(N240&lt;&gt;"",N240,IF(B240="Nebensaison",IF(C240="Wochenende",'00_Eingabe'!$C$24,'00_Eingabe'!$B$24),IF(B240="Hauptsaison",IF(C240="Wochenende",'00_Eingabe'!$C$25,'00_Eingabe'!$B$25),IF(B240="Weihnachten",IF(C240="Wochenende",'00_Eingabe'!$C$26,'00_Eingabe'!$B$26),IF(C240="Wochenende",'00_Eingabe'!$C$27,'00_Eingabe'!$B$27))))))</x:f>
        <x:v>0.85</x:v>
      </x:c>
      <x:c r="E240" s="122" t="n">
        <x:f>IF(OR(A240="",D240=""),"",ROUND('00_Eingabe'!$B$8*D240,0))</x:f>
        <x:v>30</x:v>
      </x:c>
      <x:c r="F240" s="122" t="n">
        <x:f>IF(E240="","",ROUND(E240*'00_Eingabe'!$B$18,0))</x:f>
        <x:v>57</x:v>
      </x:c>
      <x:c r="G240" s="123" t="n">
        <x:f>IF(A240="","",IF(O240&lt;&gt;"",O240,IF(B240="Nebensaison",IF(C240="Wochenende",'00_Eingabe'!$E$24,'00_Eingabe'!$D$24),IF(B240="Hauptsaison",IF(C240="Wochenende",'00_Eingabe'!$E$25,'00_Eingabe'!$D$25),IF(B240="Weihnachten",IF(C240="Wochenende",'00_Eingabe'!$E$26,'00_Eingabe'!$D$26),IF(C240="Wochenende",'00_Eingabe'!$E$27,'00_Eingabe'!$D$27))))))</x:f>
        <x:v>0.85</x:v>
      </x:c>
      <x:c r="H240" s="122" t="n">
        <x:f>IF(OR(A240="",G240=""),"",ROUND('00_Eingabe'!$B$9*G240,0))</x:f>
        <x:v>3</x:v>
      </x:c>
      <x:c r="I240" s="122" t="n">
        <x:f>IF(H240="","",ROUND(H240*'00_Eingabe'!$B$19,0))</x:f>
        <x:v>7</x:v>
      </x:c>
      <x:c r="J240" s="122" t="n">
        <x:f>IF(OR(F240="",I240=""),"",F240+I240)</x:f>
        <x:v>64</x:v>
      </x:c>
      <x:c r="K240" s="122" t="n">
        <x:f>IF(J240="","",ROUND(J240*'00_Eingabe'!$B$16*(1+'00_Eingabe'!$B$14),0))</x:f>
        <x:v>74</x:v>
      </x:c>
      <x:c r="L240" s="122" t="n">
        <x:f>IF(B240="Betriebsferien",0,ROUND(J240*'00_Eingabe'!$B$40,0)+IF(C240="Wochenende",'00_Eingabe'!$B$42,'00_Eingabe'!$B$41))</x:f>
        <x:v>63</x:v>
      </x:c>
      <x:c r="M240" s="123" t="n">
        <x:f>IF(J240="","",ROUND(J240*'00_Eingabe'!$B$17*(1+'00_Eingabe'!$B$15),0))</x:f>
        <x:v>74</x:v>
      </x:c>
      <x:c r="N240" s="106"/>
      <x:c r="O240" s="106"/>
      <x:c r="P240" s="116"/>
      <x:c r="Q240" s="213" t="n">
        <x:f>IF(C240="Wochenende",1,0)</x:f>
        <x:v>0</x:v>
      </x:c>
      <x:c r="R240" s="213" t="n">
        <x:f>IF(AND(B240&lt;&gt;"Betriebsferien",OR(WEEKDAY(A240,2)=2,WEEKDAY(A240,2)=4)),1,0)</x:f>
        <x:v>0</x:v>
      </x:c>
      <x:c r="S240" s="214" t="n">
        <x:f>R240*MIN(1,'00_Eingabe'!$B$62/'00_Eingabe'!$B$61)</x:f>
        <x:v>0</x:v>
      </x:c>
      <x:c r="T240" s="213" t="n">
        <x:f>IF(B240="Betriebsferien",0,IF(B240="Nebensaison",IF(OR(WEEKDAY(A240,2)=1,WEEKDAY(A240,2)=3,WEEKDAY(A240,2)=5),1,0),IF(C240="Unterwoche",1,0)))</x:f>
        <x:v>1</x:v>
      </x:c>
      <x:c r="U240" s="213" t="n">
        <x:f>IF(B240="Betriebsferien",0,'00_Eingabe'!$G$24)</x:f>
        <x:v>8</x:v>
      </x:c>
    </x:row>
    <x:row r="241">
      <x:c r="A241" s="121" t="n">
        <x:f>IF(ROW()-4&lt;DATE('00_Eingabe'!$B$7+1,1,1)-DATE('00_Eingabe'!$B$7,1,1),DATE('00_Eingabe'!$B$7,1,1)+ROW()-4,"")</x:f>
        <x:v>45895</x:v>
      </x:c>
      <x:c r="B241" s="122" t="str">
        <x:f>IF(A241="","",IF(OR(AND(MONTH(A241)=12,DAY(A241)&gt;=20),AND(MONTH(A241)=1,DAY(A241)&lt;=2)),"Weihnachten",IF(OR(AND(MONTH(A241)=11,DAY(A241)&gt;=24),AND(MONTH(A241)=12,DAY(A241)&lt;=7)),"Betriebsferien",IF(OR(AND(MONTH(A241)=1,DAY(A241)&gt;=3),MONTH(A241)=2,MONTH(A241)=3,MONTH(A241)=4,MONTH(A241)=10,MONTH(A241)=11,AND(MONTH(A241)=12,DAY(A241)&lt;=15)),"Nebensaison","Hauptsaison"))))</x:f>
        <x:v>Hauptsaison</x:v>
      </x:c>
      <x:c r="C241" s="122" t="str">
        <x:f>IF(A241="","",IF(WEEKDAY(A241,2)&gt;=6,"Wochenende","Unterwoche"))</x:f>
        <x:v>Unterwoche</x:v>
      </x:c>
      <x:c r="D241" s="123" t="n">
        <x:f>IF(A241="","",IF(N241&lt;&gt;"",N241,IF(B241="Nebensaison",IF(C241="Wochenende",'00_Eingabe'!$C$24,'00_Eingabe'!$B$24),IF(B241="Hauptsaison",IF(C241="Wochenende",'00_Eingabe'!$C$25,'00_Eingabe'!$B$25),IF(B241="Weihnachten",IF(C241="Wochenende",'00_Eingabe'!$C$26,'00_Eingabe'!$B$26),IF(C241="Wochenende",'00_Eingabe'!$C$27,'00_Eingabe'!$B$27))))))</x:f>
        <x:v>0.85</x:v>
      </x:c>
      <x:c r="E241" s="122" t="n">
        <x:f>IF(OR(A241="",D241=""),"",ROUND('00_Eingabe'!$B$8*D241,0))</x:f>
        <x:v>30</x:v>
      </x:c>
      <x:c r="F241" s="122" t="n">
        <x:f>IF(E241="","",ROUND(E241*'00_Eingabe'!$B$18,0))</x:f>
        <x:v>57</x:v>
      </x:c>
      <x:c r="G241" s="123" t="n">
        <x:f>IF(A241="","",IF(O241&lt;&gt;"",O241,IF(B241="Nebensaison",IF(C241="Wochenende",'00_Eingabe'!$E$24,'00_Eingabe'!$D$24),IF(B241="Hauptsaison",IF(C241="Wochenende",'00_Eingabe'!$E$25,'00_Eingabe'!$D$25),IF(B241="Weihnachten",IF(C241="Wochenende",'00_Eingabe'!$E$26,'00_Eingabe'!$D$26),IF(C241="Wochenende",'00_Eingabe'!$E$27,'00_Eingabe'!$D$27))))))</x:f>
        <x:v>0.85</x:v>
      </x:c>
      <x:c r="H241" s="122" t="n">
        <x:f>IF(OR(A241="",G241=""),"",ROUND('00_Eingabe'!$B$9*G241,0))</x:f>
        <x:v>3</x:v>
      </x:c>
      <x:c r="I241" s="122" t="n">
        <x:f>IF(H241="","",ROUND(H241*'00_Eingabe'!$B$19,0))</x:f>
        <x:v>7</x:v>
      </x:c>
      <x:c r="J241" s="122" t="n">
        <x:f>IF(OR(F241="",I241=""),"",F241+I241)</x:f>
        <x:v>64</x:v>
      </x:c>
      <x:c r="K241" s="122" t="n">
        <x:f>IF(J241="","",ROUND(J241*'00_Eingabe'!$B$16*(1+'00_Eingabe'!$B$14),0))</x:f>
        <x:v>74</x:v>
      </x:c>
      <x:c r="L241" s="122" t="n">
        <x:f>IF(B241="Betriebsferien",0,ROUND(J241*'00_Eingabe'!$B$40,0)+IF(C241="Wochenende",'00_Eingabe'!$B$42,'00_Eingabe'!$B$41))</x:f>
        <x:v>63</x:v>
      </x:c>
      <x:c r="M241" s="123" t="n">
        <x:f>IF(J241="","",ROUND(J241*'00_Eingabe'!$B$17*(1+'00_Eingabe'!$B$15),0))</x:f>
        <x:v>74</x:v>
      </x:c>
      <x:c r="N241" s="106"/>
      <x:c r="O241" s="106"/>
      <x:c r="P241" s="116"/>
      <x:c r="Q241" s="213" t="n">
        <x:f>IF(C241="Wochenende",1,0)</x:f>
        <x:v>0</x:v>
      </x:c>
      <x:c r="R241" s="213" t="n">
        <x:f>IF(AND(B241&lt;&gt;"Betriebsferien",OR(WEEKDAY(A241,2)=2,WEEKDAY(A241,2)=4)),1,0)</x:f>
        <x:v>1</x:v>
      </x:c>
      <x:c r="S241" s="214" t="n">
        <x:f>R241*MIN(1,'00_Eingabe'!$B$62/'00_Eingabe'!$B$61)</x:f>
        <x:v>0.5</x:v>
      </x:c>
      <x:c r="T241" s="213" t="n">
        <x:f>IF(B241="Betriebsferien",0,IF(B241="Nebensaison",IF(OR(WEEKDAY(A241,2)=1,WEEKDAY(A241,2)=3,WEEKDAY(A241,2)=5),1,0),IF(C241="Unterwoche",1,0)))</x:f>
        <x:v>1</x:v>
      </x:c>
      <x:c r="U241" s="213" t="n">
        <x:f>IF(B241="Betriebsferien",0,'00_Eingabe'!$G$24)</x:f>
        <x:v>8</x:v>
      </x:c>
    </x:row>
    <x:row r="242">
      <x:c r="A242" s="121" t="n">
        <x:f>IF(ROW()-4&lt;DATE('00_Eingabe'!$B$7+1,1,1)-DATE('00_Eingabe'!$B$7,1,1),DATE('00_Eingabe'!$B$7,1,1)+ROW()-4,"")</x:f>
        <x:v>45896</x:v>
      </x:c>
      <x:c r="B242" s="122" t="str">
        <x:f>IF(A242="","",IF(OR(AND(MONTH(A242)=12,DAY(A242)&gt;=20),AND(MONTH(A242)=1,DAY(A242)&lt;=2)),"Weihnachten",IF(OR(AND(MONTH(A242)=11,DAY(A242)&gt;=24),AND(MONTH(A242)=12,DAY(A242)&lt;=7)),"Betriebsferien",IF(OR(AND(MONTH(A242)=1,DAY(A242)&gt;=3),MONTH(A242)=2,MONTH(A242)=3,MONTH(A242)=4,MONTH(A242)=10,MONTH(A242)=11,AND(MONTH(A242)=12,DAY(A242)&lt;=15)),"Nebensaison","Hauptsaison"))))</x:f>
        <x:v>Hauptsaison</x:v>
      </x:c>
      <x:c r="C242" s="122" t="str">
        <x:f>IF(A242="","",IF(WEEKDAY(A242,2)&gt;=6,"Wochenende","Unterwoche"))</x:f>
        <x:v>Unterwoche</x:v>
      </x:c>
      <x:c r="D242" s="123" t="n">
        <x:f>IF(A242="","",IF(N242&lt;&gt;"",N242,IF(B242="Nebensaison",IF(C242="Wochenende",'00_Eingabe'!$C$24,'00_Eingabe'!$B$24),IF(B242="Hauptsaison",IF(C242="Wochenende",'00_Eingabe'!$C$25,'00_Eingabe'!$B$25),IF(B242="Weihnachten",IF(C242="Wochenende",'00_Eingabe'!$C$26,'00_Eingabe'!$B$26),IF(C242="Wochenende",'00_Eingabe'!$C$27,'00_Eingabe'!$B$27))))))</x:f>
        <x:v>0.85</x:v>
      </x:c>
      <x:c r="E242" s="122" t="n">
        <x:f>IF(OR(A242="",D242=""),"",ROUND('00_Eingabe'!$B$8*D242,0))</x:f>
        <x:v>30</x:v>
      </x:c>
      <x:c r="F242" s="122" t="n">
        <x:f>IF(E242="","",ROUND(E242*'00_Eingabe'!$B$18,0))</x:f>
        <x:v>57</x:v>
      </x:c>
      <x:c r="G242" s="123" t="n">
        <x:f>IF(A242="","",IF(O242&lt;&gt;"",O242,IF(B242="Nebensaison",IF(C242="Wochenende",'00_Eingabe'!$E$24,'00_Eingabe'!$D$24),IF(B242="Hauptsaison",IF(C242="Wochenende",'00_Eingabe'!$E$25,'00_Eingabe'!$D$25),IF(B242="Weihnachten",IF(C242="Wochenende",'00_Eingabe'!$E$26,'00_Eingabe'!$D$26),IF(C242="Wochenende",'00_Eingabe'!$E$27,'00_Eingabe'!$D$27))))))</x:f>
        <x:v>0.85</x:v>
      </x:c>
      <x:c r="H242" s="122" t="n">
        <x:f>IF(OR(A242="",G242=""),"",ROUND('00_Eingabe'!$B$9*G242,0))</x:f>
        <x:v>3</x:v>
      </x:c>
      <x:c r="I242" s="122" t="n">
        <x:f>IF(H242="","",ROUND(H242*'00_Eingabe'!$B$19,0))</x:f>
        <x:v>7</x:v>
      </x:c>
      <x:c r="J242" s="122" t="n">
        <x:f>IF(OR(F242="",I242=""),"",F242+I242)</x:f>
        <x:v>64</x:v>
      </x:c>
      <x:c r="K242" s="122" t="n">
        <x:f>IF(J242="","",ROUND(J242*'00_Eingabe'!$B$16*(1+'00_Eingabe'!$B$14),0))</x:f>
        <x:v>74</x:v>
      </x:c>
      <x:c r="L242" s="122" t="n">
        <x:f>IF(B242="Betriebsferien",0,ROUND(J242*'00_Eingabe'!$B$40,0)+IF(C242="Wochenende",'00_Eingabe'!$B$42,'00_Eingabe'!$B$41))</x:f>
        <x:v>63</x:v>
      </x:c>
      <x:c r="M242" s="123" t="n">
        <x:f>IF(J242="","",ROUND(J242*'00_Eingabe'!$B$17*(1+'00_Eingabe'!$B$15),0))</x:f>
        <x:v>74</x:v>
      </x:c>
      <x:c r="N242" s="106"/>
      <x:c r="O242" s="106"/>
      <x:c r="P242" s="116"/>
      <x:c r="Q242" s="213" t="n">
        <x:f>IF(C242="Wochenende",1,0)</x:f>
        <x:v>0</x:v>
      </x:c>
      <x:c r="R242" s="213" t="n">
        <x:f>IF(AND(B242&lt;&gt;"Betriebsferien",OR(WEEKDAY(A242,2)=2,WEEKDAY(A242,2)=4)),1,0)</x:f>
        <x:v>0</x:v>
      </x:c>
      <x:c r="S242" s="214" t="n">
        <x:f>R242*MIN(1,'00_Eingabe'!$B$62/'00_Eingabe'!$B$61)</x:f>
        <x:v>0</x:v>
      </x:c>
      <x:c r="T242" s="213" t="n">
        <x:f>IF(B242="Betriebsferien",0,IF(B242="Nebensaison",IF(OR(WEEKDAY(A242,2)=1,WEEKDAY(A242,2)=3,WEEKDAY(A242,2)=5),1,0),IF(C242="Unterwoche",1,0)))</x:f>
        <x:v>1</x:v>
      </x:c>
      <x:c r="U242" s="213" t="n">
        <x:f>IF(B242="Betriebsferien",0,'00_Eingabe'!$G$24)</x:f>
        <x:v>8</x:v>
      </x:c>
    </x:row>
    <x:row r="243">
      <x:c r="A243" s="121" t="n">
        <x:f>IF(ROW()-4&lt;DATE('00_Eingabe'!$B$7+1,1,1)-DATE('00_Eingabe'!$B$7,1,1),DATE('00_Eingabe'!$B$7,1,1)+ROW()-4,"")</x:f>
        <x:v>45897</x:v>
      </x:c>
      <x:c r="B243" s="122" t="str">
        <x:f>IF(A243="","",IF(OR(AND(MONTH(A243)=12,DAY(A243)&gt;=20),AND(MONTH(A243)=1,DAY(A243)&lt;=2)),"Weihnachten",IF(OR(AND(MONTH(A243)=11,DAY(A243)&gt;=24),AND(MONTH(A243)=12,DAY(A243)&lt;=7)),"Betriebsferien",IF(OR(AND(MONTH(A243)=1,DAY(A243)&gt;=3),MONTH(A243)=2,MONTH(A243)=3,MONTH(A243)=4,MONTH(A243)=10,MONTH(A243)=11,AND(MONTH(A243)=12,DAY(A243)&lt;=15)),"Nebensaison","Hauptsaison"))))</x:f>
        <x:v>Hauptsaison</x:v>
      </x:c>
      <x:c r="C243" s="122" t="str">
        <x:f>IF(A243="","",IF(WEEKDAY(A243,2)&gt;=6,"Wochenende","Unterwoche"))</x:f>
        <x:v>Unterwoche</x:v>
      </x:c>
      <x:c r="D243" s="123" t="n">
        <x:f>IF(A243="","",IF(N243&lt;&gt;"",N243,IF(B243="Nebensaison",IF(C243="Wochenende",'00_Eingabe'!$C$24,'00_Eingabe'!$B$24),IF(B243="Hauptsaison",IF(C243="Wochenende",'00_Eingabe'!$C$25,'00_Eingabe'!$B$25),IF(B243="Weihnachten",IF(C243="Wochenende",'00_Eingabe'!$C$26,'00_Eingabe'!$B$26),IF(C243="Wochenende",'00_Eingabe'!$C$27,'00_Eingabe'!$B$27))))))</x:f>
        <x:v>0.85</x:v>
      </x:c>
      <x:c r="E243" s="122" t="n">
        <x:f>IF(OR(A243="",D243=""),"",ROUND('00_Eingabe'!$B$8*D243,0))</x:f>
        <x:v>30</x:v>
      </x:c>
      <x:c r="F243" s="122" t="n">
        <x:f>IF(E243="","",ROUND(E243*'00_Eingabe'!$B$18,0))</x:f>
        <x:v>57</x:v>
      </x:c>
      <x:c r="G243" s="123" t="n">
        <x:f>IF(A243="","",IF(O243&lt;&gt;"",O243,IF(B243="Nebensaison",IF(C243="Wochenende",'00_Eingabe'!$E$24,'00_Eingabe'!$D$24),IF(B243="Hauptsaison",IF(C243="Wochenende",'00_Eingabe'!$E$25,'00_Eingabe'!$D$25),IF(B243="Weihnachten",IF(C243="Wochenende",'00_Eingabe'!$E$26,'00_Eingabe'!$D$26),IF(C243="Wochenende",'00_Eingabe'!$E$27,'00_Eingabe'!$D$27))))))</x:f>
        <x:v>0.85</x:v>
      </x:c>
      <x:c r="H243" s="122" t="n">
        <x:f>IF(OR(A243="",G243=""),"",ROUND('00_Eingabe'!$B$9*G243,0))</x:f>
        <x:v>3</x:v>
      </x:c>
      <x:c r="I243" s="122" t="n">
        <x:f>IF(H243="","",ROUND(H243*'00_Eingabe'!$B$19,0))</x:f>
        <x:v>7</x:v>
      </x:c>
      <x:c r="J243" s="122" t="n">
        <x:f>IF(OR(F243="",I243=""),"",F243+I243)</x:f>
        <x:v>64</x:v>
      </x:c>
      <x:c r="K243" s="122" t="n">
        <x:f>IF(J243="","",ROUND(J243*'00_Eingabe'!$B$16*(1+'00_Eingabe'!$B$14),0))</x:f>
        <x:v>74</x:v>
      </x:c>
      <x:c r="L243" s="122" t="n">
        <x:f>IF(B243="Betriebsferien",0,ROUND(J243*'00_Eingabe'!$B$40,0)+IF(C243="Wochenende",'00_Eingabe'!$B$42,'00_Eingabe'!$B$41))</x:f>
        <x:v>63</x:v>
      </x:c>
      <x:c r="M243" s="123" t="n">
        <x:f>IF(J243="","",ROUND(J243*'00_Eingabe'!$B$17*(1+'00_Eingabe'!$B$15),0))</x:f>
        <x:v>74</x:v>
      </x:c>
      <x:c r="N243" s="106"/>
      <x:c r="O243" s="106"/>
      <x:c r="P243" s="116"/>
      <x:c r="Q243" s="213" t="n">
        <x:f>IF(C243="Wochenende",1,0)</x:f>
        <x:v>0</x:v>
      </x:c>
      <x:c r="R243" s="213" t="n">
        <x:f>IF(AND(B243&lt;&gt;"Betriebsferien",OR(WEEKDAY(A243,2)=2,WEEKDAY(A243,2)=4)),1,0)</x:f>
        <x:v>1</x:v>
      </x:c>
      <x:c r="S243" s="214" t="n">
        <x:f>R243*MIN(1,'00_Eingabe'!$B$62/'00_Eingabe'!$B$61)</x:f>
        <x:v>0.5</x:v>
      </x:c>
      <x:c r="T243" s="213" t="n">
        <x:f>IF(B243="Betriebsferien",0,IF(B243="Nebensaison",IF(OR(WEEKDAY(A243,2)=1,WEEKDAY(A243,2)=3,WEEKDAY(A243,2)=5),1,0),IF(C243="Unterwoche",1,0)))</x:f>
        <x:v>1</x:v>
      </x:c>
      <x:c r="U243" s="213" t="n">
        <x:f>IF(B243="Betriebsferien",0,'00_Eingabe'!$G$24)</x:f>
        <x:v>8</x:v>
      </x:c>
    </x:row>
    <x:row r="244">
      <x:c r="A244" s="121" t="n">
        <x:f>IF(ROW()-4&lt;DATE('00_Eingabe'!$B$7+1,1,1)-DATE('00_Eingabe'!$B$7,1,1),DATE('00_Eingabe'!$B$7,1,1)+ROW()-4,"")</x:f>
        <x:v>45898</x:v>
      </x:c>
      <x:c r="B244" s="122" t="str">
        <x:f>IF(A244="","",IF(OR(AND(MONTH(A244)=12,DAY(A244)&gt;=20),AND(MONTH(A244)=1,DAY(A244)&lt;=2)),"Weihnachten",IF(OR(AND(MONTH(A244)=11,DAY(A244)&gt;=24),AND(MONTH(A244)=12,DAY(A244)&lt;=7)),"Betriebsferien",IF(OR(AND(MONTH(A244)=1,DAY(A244)&gt;=3),MONTH(A244)=2,MONTH(A244)=3,MONTH(A244)=4,MONTH(A244)=10,MONTH(A244)=11,AND(MONTH(A244)=12,DAY(A244)&lt;=15)),"Nebensaison","Hauptsaison"))))</x:f>
        <x:v>Hauptsaison</x:v>
      </x:c>
      <x:c r="C244" s="122" t="str">
        <x:f>IF(A244="","",IF(WEEKDAY(A244,2)&gt;=6,"Wochenende","Unterwoche"))</x:f>
        <x:v>Unterwoche</x:v>
      </x:c>
      <x:c r="D244" s="123" t="n">
        <x:f>IF(A244="","",IF(N244&lt;&gt;"",N244,IF(B244="Nebensaison",IF(C244="Wochenende",'00_Eingabe'!$C$24,'00_Eingabe'!$B$24),IF(B244="Hauptsaison",IF(C244="Wochenende",'00_Eingabe'!$C$25,'00_Eingabe'!$B$25),IF(B244="Weihnachten",IF(C244="Wochenende",'00_Eingabe'!$C$26,'00_Eingabe'!$B$26),IF(C244="Wochenende",'00_Eingabe'!$C$27,'00_Eingabe'!$B$27))))))</x:f>
        <x:v>0.85</x:v>
      </x:c>
      <x:c r="E244" s="122" t="n">
        <x:f>IF(OR(A244="",D244=""),"",ROUND('00_Eingabe'!$B$8*D244,0))</x:f>
        <x:v>30</x:v>
      </x:c>
      <x:c r="F244" s="122" t="n">
        <x:f>IF(E244="","",ROUND(E244*'00_Eingabe'!$B$18,0))</x:f>
        <x:v>57</x:v>
      </x:c>
      <x:c r="G244" s="123" t="n">
        <x:f>IF(A244="","",IF(O244&lt;&gt;"",O244,IF(B244="Nebensaison",IF(C244="Wochenende",'00_Eingabe'!$E$24,'00_Eingabe'!$D$24),IF(B244="Hauptsaison",IF(C244="Wochenende",'00_Eingabe'!$E$25,'00_Eingabe'!$D$25),IF(B244="Weihnachten",IF(C244="Wochenende",'00_Eingabe'!$E$26,'00_Eingabe'!$D$26),IF(C244="Wochenende",'00_Eingabe'!$E$27,'00_Eingabe'!$D$27))))))</x:f>
        <x:v>0.85</x:v>
      </x:c>
      <x:c r="H244" s="122" t="n">
        <x:f>IF(OR(A244="",G244=""),"",ROUND('00_Eingabe'!$B$9*G244,0))</x:f>
        <x:v>3</x:v>
      </x:c>
      <x:c r="I244" s="122" t="n">
        <x:f>IF(H244="","",ROUND(H244*'00_Eingabe'!$B$19,0))</x:f>
        <x:v>7</x:v>
      </x:c>
      <x:c r="J244" s="122" t="n">
        <x:f>IF(OR(F244="",I244=""),"",F244+I244)</x:f>
        <x:v>64</x:v>
      </x:c>
      <x:c r="K244" s="122" t="n">
        <x:f>IF(J244="","",ROUND(J244*'00_Eingabe'!$B$16*(1+'00_Eingabe'!$B$14),0))</x:f>
        <x:v>74</x:v>
      </x:c>
      <x:c r="L244" s="122" t="n">
        <x:f>IF(B244="Betriebsferien",0,ROUND(J244*'00_Eingabe'!$B$40,0)+IF(C244="Wochenende",'00_Eingabe'!$B$42,'00_Eingabe'!$B$41))</x:f>
        <x:v>63</x:v>
      </x:c>
      <x:c r="M244" s="123" t="n">
        <x:f>IF(J244="","",ROUND(J244*'00_Eingabe'!$B$17*(1+'00_Eingabe'!$B$15),0))</x:f>
        <x:v>74</x:v>
      </x:c>
      <x:c r="N244" s="106"/>
      <x:c r="O244" s="106"/>
      <x:c r="P244" s="116"/>
      <x:c r="Q244" s="213" t="n">
        <x:f>IF(C244="Wochenende",1,0)</x:f>
        <x:v>0</x:v>
      </x:c>
      <x:c r="R244" s="213" t="n">
        <x:f>IF(AND(B244&lt;&gt;"Betriebsferien",OR(WEEKDAY(A244,2)=2,WEEKDAY(A244,2)=4)),1,0)</x:f>
        <x:v>0</x:v>
      </x:c>
      <x:c r="S244" s="214" t="n">
        <x:f>R244*MIN(1,'00_Eingabe'!$B$62/'00_Eingabe'!$B$61)</x:f>
        <x:v>0</x:v>
      </x:c>
      <x:c r="T244" s="213" t="n">
        <x:f>IF(B244="Betriebsferien",0,IF(B244="Nebensaison",IF(OR(WEEKDAY(A244,2)=1,WEEKDAY(A244,2)=3,WEEKDAY(A244,2)=5),1,0),IF(C244="Unterwoche",1,0)))</x:f>
        <x:v>1</x:v>
      </x:c>
      <x:c r="U244" s="213" t="n">
        <x:f>IF(B244="Betriebsferien",0,'00_Eingabe'!$G$24)</x:f>
        <x:v>8</x:v>
      </x:c>
    </x:row>
    <x:row r="245">
      <x:c r="A245" s="121" t="n">
        <x:f>IF(ROW()-4&lt;DATE('00_Eingabe'!$B$7+1,1,1)-DATE('00_Eingabe'!$B$7,1,1),DATE('00_Eingabe'!$B$7,1,1)+ROW()-4,"")</x:f>
        <x:v>45899</x:v>
      </x:c>
      <x:c r="B245" s="122" t="str">
        <x:f>IF(A245="","",IF(OR(AND(MONTH(A245)=12,DAY(A245)&gt;=20),AND(MONTH(A245)=1,DAY(A245)&lt;=2)),"Weihnachten",IF(OR(AND(MONTH(A245)=11,DAY(A245)&gt;=24),AND(MONTH(A245)=12,DAY(A245)&lt;=7)),"Betriebsferien",IF(OR(AND(MONTH(A245)=1,DAY(A245)&gt;=3),MONTH(A245)=2,MONTH(A245)=3,MONTH(A245)=4,MONTH(A245)=10,MONTH(A245)=11,AND(MONTH(A245)=12,DAY(A245)&lt;=15)),"Nebensaison","Hauptsaison"))))</x:f>
        <x:v>Hauptsaison</x:v>
      </x:c>
      <x:c r="C245" s="122" t="str">
        <x:f>IF(A245="","",IF(WEEKDAY(A245,2)&gt;=6,"Wochenende","Unterwoche"))</x:f>
        <x:v>Wochenende</x:v>
      </x:c>
      <x:c r="D245" s="123" t="n">
        <x:f>IF(A245="","",IF(N245&lt;&gt;"",N245,IF(B245="Nebensaison",IF(C245="Wochenende",'00_Eingabe'!$C$24,'00_Eingabe'!$B$24),IF(B245="Hauptsaison",IF(C245="Wochenende",'00_Eingabe'!$C$25,'00_Eingabe'!$B$25),IF(B245="Weihnachten",IF(C245="Wochenende",'00_Eingabe'!$C$26,'00_Eingabe'!$B$26),IF(C245="Wochenende",'00_Eingabe'!$C$27,'00_Eingabe'!$B$27))))))</x:f>
        <x:v>0.9</x:v>
      </x:c>
      <x:c r="E245" s="122" t="n">
        <x:f>IF(OR(A245="",D245=""),"",ROUND('00_Eingabe'!$B$8*D245,0))</x:f>
        <x:v>32</x:v>
      </x:c>
      <x:c r="F245" s="122" t="n">
        <x:f>IF(E245="","",ROUND(E245*'00_Eingabe'!$B$18,0))</x:f>
        <x:v>61</x:v>
      </x:c>
      <x:c r="G245" s="123" t="n">
        <x:f>IF(A245="","",IF(O245&lt;&gt;"",O245,IF(B245="Nebensaison",IF(C245="Wochenende",'00_Eingabe'!$E$24,'00_Eingabe'!$D$24),IF(B245="Hauptsaison",IF(C245="Wochenende",'00_Eingabe'!$E$25,'00_Eingabe'!$D$25),IF(B245="Weihnachten",IF(C245="Wochenende",'00_Eingabe'!$E$26,'00_Eingabe'!$D$26),IF(C245="Wochenende",'00_Eingabe'!$E$27,'00_Eingabe'!$D$27))))))</x:f>
        <x:v>0.9</x:v>
      </x:c>
      <x:c r="H245" s="122" t="n">
        <x:f>IF(OR(A245="",G245=""),"",ROUND('00_Eingabe'!$B$9*G245,0))</x:f>
        <x:v>4</x:v>
      </x:c>
      <x:c r="I245" s="122" t="n">
        <x:f>IF(H245="","",ROUND(H245*'00_Eingabe'!$B$19,0))</x:f>
        <x:v>9</x:v>
      </x:c>
      <x:c r="J245" s="122" t="n">
        <x:f>IF(OR(F245="",I245=""),"",F245+I245)</x:f>
        <x:v>70</x:v>
      </x:c>
      <x:c r="K245" s="122" t="n">
        <x:f>IF(J245="","",ROUND(J245*'00_Eingabe'!$B$16*(1+'00_Eingabe'!$B$14),0))</x:f>
        <x:v>81</x:v>
      </x:c>
      <x:c r="L245" s="122" t="n">
        <x:f>IF(B245="Betriebsferien",0,ROUND(J245*'00_Eingabe'!$B$40,0)+IF(C245="Wochenende",'00_Eingabe'!$B$42,'00_Eingabe'!$B$41))</x:f>
        <x:v>93</x:v>
      </x:c>
      <x:c r="M245" s="123" t="n">
        <x:f>IF(J245="","",ROUND(J245*'00_Eingabe'!$B$17*(1+'00_Eingabe'!$B$15),0))</x:f>
        <x:v>81</x:v>
      </x:c>
      <x:c r="N245" s="106"/>
      <x:c r="O245" s="106"/>
      <x:c r="P245" s="116"/>
      <x:c r="Q245" s="213" t="n">
        <x:f>IF(C245="Wochenende",1,0)</x:f>
        <x:v>1</x:v>
      </x:c>
      <x:c r="R245" s="213" t="n">
        <x:f>IF(AND(B245&lt;&gt;"Betriebsferien",OR(WEEKDAY(A245,2)=2,WEEKDAY(A245,2)=4)),1,0)</x:f>
        <x:v>0</x:v>
      </x:c>
      <x:c r="S245" s="214" t="n">
        <x:f>R245*MIN(1,'00_Eingabe'!$B$62/'00_Eingabe'!$B$61)</x:f>
        <x:v>0</x:v>
      </x:c>
      <x:c r="T245" s="213" t="n">
        <x:f>IF(B245="Betriebsferien",0,IF(B245="Nebensaison",IF(OR(WEEKDAY(A245,2)=1,WEEKDAY(A245,2)=3,WEEKDAY(A245,2)=5),1,0),IF(C245="Unterwoche",1,0)))</x:f>
        <x:v>0</x:v>
      </x:c>
      <x:c r="U245" s="213" t="n">
        <x:f>IF(B245="Betriebsferien",0,'00_Eingabe'!$G$24)</x:f>
        <x:v>8</x:v>
      </x:c>
    </x:row>
    <x:row r="246">
      <x:c r="A246" s="121" t="n">
        <x:f>IF(ROW()-4&lt;DATE('00_Eingabe'!$B$7+1,1,1)-DATE('00_Eingabe'!$B$7,1,1),DATE('00_Eingabe'!$B$7,1,1)+ROW()-4,"")</x:f>
        <x:v>45900</x:v>
      </x:c>
      <x:c r="B246" s="122" t="str">
        <x:f>IF(A246="","",IF(OR(AND(MONTH(A246)=12,DAY(A246)&gt;=20),AND(MONTH(A246)=1,DAY(A246)&lt;=2)),"Weihnachten",IF(OR(AND(MONTH(A246)=11,DAY(A246)&gt;=24),AND(MONTH(A246)=12,DAY(A246)&lt;=7)),"Betriebsferien",IF(OR(AND(MONTH(A246)=1,DAY(A246)&gt;=3),MONTH(A246)=2,MONTH(A246)=3,MONTH(A246)=4,MONTH(A246)=10,MONTH(A246)=11,AND(MONTH(A246)=12,DAY(A246)&lt;=15)),"Nebensaison","Hauptsaison"))))</x:f>
        <x:v>Hauptsaison</x:v>
      </x:c>
      <x:c r="C246" s="122" t="str">
        <x:f>IF(A246="","",IF(WEEKDAY(A246,2)&gt;=6,"Wochenende","Unterwoche"))</x:f>
        <x:v>Wochenende</x:v>
      </x:c>
      <x:c r="D246" s="123" t="n">
        <x:f>IF(A246="","",IF(N246&lt;&gt;"",N246,IF(B246="Nebensaison",IF(C246="Wochenende",'00_Eingabe'!$C$24,'00_Eingabe'!$B$24),IF(B246="Hauptsaison",IF(C246="Wochenende",'00_Eingabe'!$C$25,'00_Eingabe'!$B$25),IF(B246="Weihnachten",IF(C246="Wochenende",'00_Eingabe'!$C$26,'00_Eingabe'!$B$26),IF(C246="Wochenende",'00_Eingabe'!$C$27,'00_Eingabe'!$B$27))))))</x:f>
        <x:v>0.9</x:v>
      </x:c>
      <x:c r="E246" s="122" t="n">
        <x:f>IF(OR(A246="",D246=""),"",ROUND('00_Eingabe'!$B$8*D246,0))</x:f>
        <x:v>32</x:v>
      </x:c>
      <x:c r="F246" s="122" t="n">
        <x:f>IF(E246="","",ROUND(E246*'00_Eingabe'!$B$18,0))</x:f>
        <x:v>61</x:v>
      </x:c>
      <x:c r="G246" s="123" t="n">
        <x:f>IF(A246="","",IF(O246&lt;&gt;"",O246,IF(B246="Nebensaison",IF(C246="Wochenende",'00_Eingabe'!$E$24,'00_Eingabe'!$D$24),IF(B246="Hauptsaison",IF(C246="Wochenende",'00_Eingabe'!$E$25,'00_Eingabe'!$D$25),IF(B246="Weihnachten",IF(C246="Wochenende",'00_Eingabe'!$E$26,'00_Eingabe'!$D$26),IF(C246="Wochenende",'00_Eingabe'!$E$27,'00_Eingabe'!$D$27))))))</x:f>
        <x:v>0.9</x:v>
      </x:c>
      <x:c r="H246" s="122" t="n">
        <x:f>IF(OR(A246="",G246=""),"",ROUND('00_Eingabe'!$B$9*G246,0))</x:f>
        <x:v>4</x:v>
      </x:c>
      <x:c r="I246" s="122" t="n">
        <x:f>IF(H246="","",ROUND(H246*'00_Eingabe'!$B$19,0))</x:f>
        <x:v>9</x:v>
      </x:c>
      <x:c r="J246" s="122" t="n">
        <x:f>IF(OR(F246="",I246=""),"",F246+I246)</x:f>
        <x:v>70</x:v>
      </x:c>
      <x:c r="K246" s="122" t="n">
        <x:f>IF(J246="","",ROUND(J246*'00_Eingabe'!$B$16*(1+'00_Eingabe'!$B$14),0))</x:f>
        <x:v>81</x:v>
      </x:c>
      <x:c r="L246" s="122" t="n">
        <x:f>IF(B246="Betriebsferien",0,ROUND(J246*'00_Eingabe'!$B$40,0)+IF(C246="Wochenende",'00_Eingabe'!$B$42,'00_Eingabe'!$B$41))</x:f>
        <x:v>93</x:v>
      </x:c>
      <x:c r="M246" s="123" t="n">
        <x:f>IF(J246="","",ROUND(J246*'00_Eingabe'!$B$17*(1+'00_Eingabe'!$B$15),0))</x:f>
        <x:v>81</x:v>
      </x:c>
      <x:c r="N246" s="106"/>
      <x:c r="O246" s="106"/>
      <x:c r="P246" s="116"/>
      <x:c r="Q246" s="213" t="n">
        <x:f>IF(C246="Wochenende",1,0)</x:f>
        <x:v>1</x:v>
      </x:c>
      <x:c r="R246" s="213" t="n">
        <x:f>IF(AND(B246&lt;&gt;"Betriebsferien",OR(WEEKDAY(A246,2)=2,WEEKDAY(A246,2)=4)),1,0)</x:f>
        <x:v>0</x:v>
      </x:c>
      <x:c r="S246" s="214" t="n">
        <x:f>R246*MIN(1,'00_Eingabe'!$B$62/'00_Eingabe'!$B$61)</x:f>
        <x:v>0</x:v>
      </x:c>
      <x:c r="T246" s="213" t="n">
        <x:f>IF(B246="Betriebsferien",0,IF(B246="Nebensaison",IF(OR(WEEKDAY(A246,2)=1,WEEKDAY(A246,2)=3,WEEKDAY(A246,2)=5),1,0),IF(C246="Unterwoche",1,0)))</x:f>
        <x:v>0</x:v>
      </x:c>
      <x:c r="U246" s="213" t="n">
        <x:f>IF(B246="Betriebsferien",0,'00_Eingabe'!$G$24)</x:f>
        <x:v>8</x:v>
      </x:c>
    </x:row>
    <x:row r="247">
      <x:c r="A247" s="121" t="n">
        <x:f>IF(ROW()-4&lt;DATE('00_Eingabe'!$B$7+1,1,1)-DATE('00_Eingabe'!$B$7,1,1),DATE('00_Eingabe'!$B$7,1,1)+ROW()-4,"")</x:f>
        <x:v>45901</x:v>
      </x:c>
      <x:c r="B247" s="122" t="str">
        <x:f>IF(A247="","",IF(OR(AND(MONTH(A247)=12,DAY(A247)&gt;=20),AND(MONTH(A247)=1,DAY(A247)&lt;=2)),"Weihnachten",IF(OR(AND(MONTH(A247)=11,DAY(A247)&gt;=24),AND(MONTH(A247)=12,DAY(A247)&lt;=7)),"Betriebsferien",IF(OR(AND(MONTH(A247)=1,DAY(A247)&gt;=3),MONTH(A247)=2,MONTH(A247)=3,MONTH(A247)=4,MONTH(A247)=10,MONTH(A247)=11,AND(MONTH(A247)=12,DAY(A247)&lt;=15)),"Nebensaison","Hauptsaison"))))</x:f>
        <x:v>Hauptsaison</x:v>
      </x:c>
      <x:c r="C247" s="122" t="str">
        <x:f>IF(A247="","",IF(WEEKDAY(A247,2)&gt;=6,"Wochenende","Unterwoche"))</x:f>
        <x:v>Unterwoche</x:v>
      </x:c>
      <x:c r="D247" s="123" t="n">
        <x:f>IF(A247="","",IF(N247&lt;&gt;"",N247,IF(B247="Nebensaison",IF(C247="Wochenende",'00_Eingabe'!$C$24,'00_Eingabe'!$B$24),IF(B247="Hauptsaison",IF(C247="Wochenende",'00_Eingabe'!$C$25,'00_Eingabe'!$B$25),IF(B247="Weihnachten",IF(C247="Wochenende",'00_Eingabe'!$C$26,'00_Eingabe'!$B$26),IF(C247="Wochenende",'00_Eingabe'!$C$27,'00_Eingabe'!$B$27))))))</x:f>
        <x:v>0.85</x:v>
      </x:c>
      <x:c r="E247" s="122" t="n">
        <x:f>IF(OR(A247="",D247=""),"",ROUND('00_Eingabe'!$B$8*D247,0))</x:f>
        <x:v>30</x:v>
      </x:c>
      <x:c r="F247" s="122" t="n">
        <x:f>IF(E247="","",ROUND(E247*'00_Eingabe'!$B$18,0))</x:f>
        <x:v>57</x:v>
      </x:c>
      <x:c r="G247" s="123" t="n">
        <x:f>IF(A247="","",IF(O247&lt;&gt;"",O247,IF(B247="Nebensaison",IF(C247="Wochenende",'00_Eingabe'!$E$24,'00_Eingabe'!$D$24),IF(B247="Hauptsaison",IF(C247="Wochenende",'00_Eingabe'!$E$25,'00_Eingabe'!$D$25),IF(B247="Weihnachten",IF(C247="Wochenende",'00_Eingabe'!$E$26,'00_Eingabe'!$D$26),IF(C247="Wochenende",'00_Eingabe'!$E$27,'00_Eingabe'!$D$27))))))</x:f>
        <x:v>0.85</x:v>
      </x:c>
      <x:c r="H247" s="122" t="n">
        <x:f>IF(OR(A247="",G247=""),"",ROUND('00_Eingabe'!$B$9*G247,0))</x:f>
        <x:v>3</x:v>
      </x:c>
      <x:c r="I247" s="122" t="n">
        <x:f>IF(H247="","",ROUND(H247*'00_Eingabe'!$B$19,0))</x:f>
        <x:v>7</x:v>
      </x:c>
      <x:c r="J247" s="122" t="n">
        <x:f>IF(OR(F247="",I247=""),"",F247+I247)</x:f>
        <x:v>64</x:v>
      </x:c>
      <x:c r="K247" s="122" t="n">
        <x:f>IF(J247="","",ROUND(J247*'00_Eingabe'!$B$16*(1+'00_Eingabe'!$B$14),0))</x:f>
        <x:v>74</x:v>
      </x:c>
      <x:c r="L247" s="122" t="n">
        <x:f>IF(B247="Betriebsferien",0,ROUND(J247*'00_Eingabe'!$B$40,0)+IF(C247="Wochenende",'00_Eingabe'!$B$42,'00_Eingabe'!$B$41))</x:f>
        <x:v>63</x:v>
      </x:c>
      <x:c r="M247" s="123" t="n">
        <x:f>IF(J247="","",ROUND(J247*'00_Eingabe'!$B$17*(1+'00_Eingabe'!$B$15),0))</x:f>
        <x:v>74</x:v>
      </x:c>
      <x:c r="N247" s="106"/>
      <x:c r="O247" s="106"/>
      <x:c r="P247" s="116"/>
      <x:c r="Q247" s="213" t="n">
        <x:f>IF(C247="Wochenende",1,0)</x:f>
        <x:v>0</x:v>
      </x:c>
      <x:c r="R247" s="213" t="n">
        <x:f>IF(AND(B247&lt;&gt;"Betriebsferien",OR(WEEKDAY(A247,2)=2,WEEKDAY(A247,2)=4)),1,0)</x:f>
        <x:v>0</x:v>
      </x:c>
      <x:c r="S247" s="214" t="n">
        <x:f>R247*MIN(1,'00_Eingabe'!$B$62/'00_Eingabe'!$B$61)</x:f>
        <x:v>0</x:v>
      </x:c>
      <x:c r="T247" s="213" t="n">
        <x:f>IF(B247="Betriebsferien",0,IF(B247="Nebensaison",IF(OR(WEEKDAY(A247,2)=1,WEEKDAY(A247,2)=3,WEEKDAY(A247,2)=5),1,0),IF(C247="Unterwoche",1,0)))</x:f>
        <x:v>1</x:v>
      </x:c>
      <x:c r="U247" s="213" t="n">
        <x:f>IF(B247="Betriebsferien",0,'00_Eingabe'!$G$24)</x:f>
        <x:v>8</x:v>
      </x:c>
    </x:row>
    <x:row r="248">
      <x:c r="A248" s="121" t="n">
        <x:f>IF(ROW()-4&lt;DATE('00_Eingabe'!$B$7+1,1,1)-DATE('00_Eingabe'!$B$7,1,1),DATE('00_Eingabe'!$B$7,1,1)+ROW()-4,"")</x:f>
        <x:v>45902</x:v>
      </x:c>
      <x:c r="B248" s="122" t="str">
        <x:f>IF(A248="","",IF(OR(AND(MONTH(A248)=12,DAY(A248)&gt;=20),AND(MONTH(A248)=1,DAY(A248)&lt;=2)),"Weihnachten",IF(OR(AND(MONTH(A248)=11,DAY(A248)&gt;=24),AND(MONTH(A248)=12,DAY(A248)&lt;=7)),"Betriebsferien",IF(OR(AND(MONTH(A248)=1,DAY(A248)&gt;=3),MONTH(A248)=2,MONTH(A248)=3,MONTH(A248)=4,MONTH(A248)=10,MONTH(A248)=11,AND(MONTH(A248)=12,DAY(A248)&lt;=15)),"Nebensaison","Hauptsaison"))))</x:f>
        <x:v>Hauptsaison</x:v>
      </x:c>
      <x:c r="C248" s="122" t="str">
        <x:f>IF(A248="","",IF(WEEKDAY(A248,2)&gt;=6,"Wochenende","Unterwoche"))</x:f>
        <x:v>Unterwoche</x:v>
      </x:c>
      <x:c r="D248" s="123" t="n">
        <x:f>IF(A248="","",IF(N248&lt;&gt;"",N248,IF(B248="Nebensaison",IF(C248="Wochenende",'00_Eingabe'!$C$24,'00_Eingabe'!$B$24),IF(B248="Hauptsaison",IF(C248="Wochenende",'00_Eingabe'!$C$25,'00_Eingabe'!$B$25),IF(B248="Weihnachten",IF(C248="Wochenende",'00_Eingabe'!$C$26,'00_Eingabe'!$B$26),IF(C248="Wochenende",'00_Eingabe'!$C$27,'00_Eingabe'!$B$27))))))</x:f>
        <x:v>0.85</x:v>
      </x:c>
      <x:c r="E248" s="122" t="n">
        <x:f>IF(OR(A248="",D248=""),"",ROUND('00_Eingabe'!$B$8*D248,0))</x:f>
        <x:v>30</x:v>
      </x:c>
      <x:c r="F248" s="122" t="n">
        <x:f>IF(E248="","",ROUND(E248*'00_Eingabe'!$B$18,0))</x:f>
        <x:v>57</x:v>
      </x:c>
      <x:c r="G248" s="123" t="n">
        <x:f>IF(A248="","",IF(O248&lt;&gt;"",O248,IF(B248="Nebensaison",IF(C248="Wochenende",'00_Eingabe'!$E$24,'00_Eingabe'!$D$24),IF(B248="Hauptsaison",IF(C248="Wochenende",'00_Eingabe'!$E$25,'00_Eingabe'!$D$25),IF(B248="Weihnachten",IF(C248="Wochenende",'00_Eingabe'!$E$26,'00_Eingabe'!$D$26),IF(C248="Wochenende",'00_Eingabe'!$E$27,'00_Eingabe'!$D$27))))))</x:f>
        <x:v>0.85</x:v>
      </x:c>
      <x:c r="H248" s="122" t="n">
        <x:f>IF(OR(A248="",G248=""),"",ROUND('00_Eingabe'!$B$9*G248,0))</x:f>
        <x:v>3</x:v>
      </x:c>
      <x:c r="I248" s="122" t="n">
        <x:f>IF(H248="","",ROUND(H248*'00_Eingabe'!$B$19,0))</x:f>
        <x:v>7</x:v>
      </x:c>
      <x:c r="J248" s="122" t="n">
        <x:f>IF(OR(F248="",I248=""),"",F248+I248)</x:f>
        <x:v>64</x:v>
      </x:c>
      <x:c r="K248" s="122" t="n">
        <x:f>IF(J248="","",ROUND(J248*'00_Eingabe'!$B$16*(1+'00_Eingabe'!$B$14),0))</x:f>
        <x:v>74</x:v>
      </x:c>
      <x:c r="L248" s="122" t="n">
        <x:f>IF(B248="Betriebsferien",0,ROUND(J248*'00_Eingabe'!$B$40,0)+IF(C248="Wochenende",'00_Eingabe'!$B$42,'00_Eingabe'!$B$41))</x:f>
        <x:v>63</x:v>
      </x:c>
      <x:c r="M248" s="123" t="n">
        <x:f>IF(J248="","",ROUND(J248*'00_Eingabe'!$B$17*(1+'00_Eingabe'!$B$15),0))</x:f>
        <x:v>74</x:v>
      </x:c>
      <x:c r="N248" s="106"/>
      <x:c r="O248" s="106"/>
      <x:c r="P248" s="116"/>
      <x:c r="Q248" s="213" t="n">
        <x:f>IF(C248="Wochenende",1,0)</x:f>
        <x:v>0</x:v>
      </x:c>
      <x:c r="R248" s="213" t="n">
        <x:f>IF(AND(B248&lt;&gt;"Betriebsferien",OR(WEEKDAY(A248,2)=2,WEEKDAY(A248,2)=4)),1,0)</x:f>
        <x:v>1</x:v>
      </x:c>
      <x:c r="S248" s="214" t="n">
        <x:f>R248*MIN(1,'00_Eingabe'!$B$62/'00_Eingabe'!$B$61)</x:f>
        <x:v>0.5</x:v>
      </x:c>
      <x:c r="T248" s="213" t="n">
        <x:f>IF(B248="Betriebsferien",0,IF(B248="Nebensaison",IF(OR(WEEKDAY(A248,2)=1,WEEKDAY(A248,2)=3,WEEKDAY(A248,2)=5),1,0),IF(C248="Unterwoche",1,0)))</x:f>
        <x:v>1</x:v>
      </x:c>
      <x:c r="U248" s="213" t="n">
        <x:f>IF(B248="Betriebsferien",0,'00_Eingabe'!$G$24)</x:f>
        <x:v>8</x:v>
      </x:c>
    </x:row>
    <x:row r="249">
      <x:c r="A249" s="121" t="n">
        <x:f>IF(ROW()-4&lt;DATE('00_Eingabe'!$B$7+1,1,1)-DATE('00_Eingabe'!$B$7,1,1),DATE('00_Eingabe'!$B$7,1,1)+ROW()-4,"")</x:f>
        <x:v>45903</x:v>
      </x:c>
      <x:c r="B249" s="122" t="str">
        <x:f>IF(A249="","",IF(OR(AND(MONTH(A249)=12,DAY(A249)&gt;=20),AND(MONTH(A249)=1,DAY(A249)&lt;=2)),"Weihnachten",IF(OR(AND(MONTH(A249)=11,DAY(A249)&gt;=24),AND(MONTH(A249)=12,DAY(A249)&lt;=7)),"Betriebsferien",IF(OR(AND(MONTH(A249)=1,DAY(A249)&gt;=3),MONTH(A249)=2,MONTH(A249)=3,MONTH(A249)=4,MONTH(A249)=10,MONTH(A249)=11,AND(MONTH(A249)=12,DAY(A249)&lt;=15)),"Nebensaison","Hauptsaison"))))</x:f>
        <x:v>Hauptsaison</x:v>
      </x:c>
      <x:c r="C249" s="122" t="str">
        <x:f>IF(A249="","",IF(WEEKDAY(A249,2)&gt;=6,"Wochenende","Unterwoche"))</x:f>
        <x:v>Unterwoche</x:v>
      </x:c>
      <x:c r="D249" s="123" t="n">
        <x:f>IF(A249="","",IF(N249&lt;&gt;"",N249,IF(B249="Nebensaison",IF(C249="Wochenende",'00_Eingabe'!$C$24,'00_Eingabe'!$B$24),IF(B249="Hauptsaison",IF(C249="Wochenende",'00_Eingabe'!$C$25,'00_Eingabe'!$B$25),IF(B249="Weihnachten",IF(C249="Wochenende",'00_Eingabe'!$C$26,'00_Eingabe'!$B$26),IF(C249="Wochenende",'00_Eingabe'!$C$27,'00_Eingabe'!$B$27))))))</x:f>
        <x:v>0.85</x:v>
      </x:c>
      <x:c r="E249" s="122" t="n">
        <x:f>IF(OR(A249="",D249=""),"",ROUND('00_Eingabe'!$B$8*D249,0))</x:f>
        <x:v>30</x:v>
      </x:c>
      <x:c r="F249" s="122" t="n">
        <x:f>IF(E249="","",ROUND(E249*'00_Eingabe'!$B$18,0))</x:f>
        <x:v>57</x:v>
      </x:c>
      <x:c r="G249" s="123" t="n">
        <x:f>IF(A249="","",IF(O249&lt;&gt;"",O249,IF(B249="Nebensaison",IF(C249="Wochenende",'00_Eingabe'!$E$24,'00_Eingabe'!$D$24),IF(B249="Hauptsaison",IF(C249="Wochenende",'00_Eingabe'!$E$25,'00_Eingabe'!$D$25),IF(B249="Weihnachten",IF(C249="Wochenende",'00_Eingabe'!$E$26,'00_Eingabe'!$D$26),IF(C249="Wochenende",'00_Eingabe'!$E$27,'00_Eingabe'!$D$27))))))</x:f>
        <x:v>0.85</x:v>
      </x:c>
      <x:c r="H249" s="122" t="n">
        <x:f>IF(OR(A249="",G249=""),"",ROUND('00_Eingabe'!$B$9*G249,0))</x:f>
        <x:v>3</x:v>
      </x:c>
      <x:c r="I249" s="122" t="n">
        <x:f>IF(H249="","",ROUND(H249*'00_Eingabe'!$B$19,0))</x:f>
        <x:v>7</x:v>
      </x:c>
      <x:c r="J249" s="122" t="n">
        <x:f>IF(OR(F249="",I249=""),"",F249+I249)</x:f>
        <x:v>64</x:v>
      </x:c>
      <x:c r="K249" s="122" t="n">
        <x:f>IF(J249="","",ROUND(J249*'00_Eingabe'!$B$16*(1+'00_Eingabe'!$B$14),0))</x:f>
        <x:v>74</x:v>
      </x:c>
      <x:c r="L249" s="122" t="n">
        <x:f>IF(B249="Betriebsferien",0,ROUND(J249*'00_Eingabe'!$B$40,0)+IF(C249="Wochenende",'00_Eingabe'!$B$42,'00_Eingabe'!$B$41))</x:f>
        <x:v>63</x:v>
      </x:c>
      <x:c r="M249" s="123" t="n">
        <x:f>IF(J249="","",ROUND(J249*'00_Eingabe'!$B$17*(1+'00_Eingabe'!$B$15),0))</x:f>
        <x:v>74</x:v>
      </x:c>
      <x:c r="N249" s="106"/>
      <x:c r="O249" s="106"/>
      <x:c r="P249" s="116"/>
      <x:c r="Q249" s="213" t="n">
        <x:f>IF(C249="Wochenende",1,0)</x:f>
        <x:v>0</x:v>
      </x:c>
      <x:c r="R249" s="213" t="n">
        <x:f>IF(AND(B249&lt;&gt;"Betriebsferien",OR(WEEKDAY(A249,2)=2,WEEKDAY(A249,2)=4)),1,0)</x:f>
        <x:v>0</x:v>
      </x:c>
      <x:c r="S249" s="214" t="n">
        <x:f>R249*MIN(1,'00_Eingabe'!$B$62/'00_Eingabe'!$B$61)</x:f>
        <x:v>0</x:v>
      </x:c>
      <x:c r="T249" s="213" t="n">
        <x:f>IF(B249="Betriebsferien",0,IF(B249="Nebensaison",IF(OR(WEEKDAY(A249,2)=1,WEEKDAY(A249,2)=3,WEEKDAY(A249,2)=5),1,0),IF(C249="Unterwoche",1,0)))</x:f>
        <x:v>1</x:v>
      </x:c>
      <x:c r="U249" s="213" t="n">
        <x:f>IF(B249="Betriebsferien",0,'00_Eingabe'!$G$24)</x:f>
        <x:v>8</x:v>
      </x:c>
    </x:row>
    <x:row r="250">
      <x:c r="A250" s="121" t="n">
        <x:f>IF(ROW()-4&lt;DATE('00_Eingabe'!$B$7+1,1,1)-DATE('00_Eingabe'!$B$7,1,1),DATE('00_Eingabe'!$B$7,1,1)+ROW()-4,"")</x:f>
        <x:v>45904</x:v>
      </x:c>
      <x:c r="B250" s="122" t="str">
        <x:f>IF(A250="","",IF(OR(AND(MONTH(A250)=12,DAY(A250)&gt;=20),AND(MONTH(A250)=1,DAY(A250)&lt;=2)),"Weihnachten",IF(OR(AND(MONTH(A250)=11,DAY(A250)&gt;=24),AND(MONTH(A250)=12,DAY(A250)&lt;=7)),"Betriebsferien",IF(OR(AND(MONTH(A250)=1,DAY(A250)&gt;=3),MONTH(A250)=2,MONTH(A250)=3,MONTH(A250)=4,MONTH(A250)=10,MONTH(A250)=11,AND(MONTH(A250)=12,DAY(A250)&lt;=15)),"Nebensaison","Hauptsaison"))))</x:f>
        <x:v>Hauptsaison</x:v>
      </x:c>
      <x:c r="C250" s="122" t="str">
        <x:f>IF(A250="","",IF(WEEKDAY(A250,2)&gt;=6,"Wochenende","Unterwoche"))</x:f>
        <x:v>Unterwoche</x:v>
      </x:c>
      <x:c r="D250" s="123" t="n">
        <x:f>IF(A250="","",IF(N250&lt;&gt;"",N250,IF(B250="Nebensaison",IF(C250="Wochenende",'00_Eingabe'!$C$24,'00_Eingabe'!$B$24),IF(B250="Hauptsaison",IF(C250="Wochenende",'00_Eingabe'!$C$25,'00_Eingabe'!$B$25),IF(B250="Weihnachten",IF(C250="Wochenende",'00_Eingabe'!$C$26,'00_Eingabe'!$B$26),IF(C250="Wochenende",'00_Eingabe'!$C$27,'00_Eingabe'!$B$27))))))</x:f>
        <x:v>0.85</x:v>
      </x:c>
      <x:c r="E250" s="122" t="n">
        <x:f>IF(OR(A250="",D250=""),"",ROUND('00_Eingabe'!$B$8*D250,0))</x:f>
        <x:v>30</x:v>
      </x:c>
      <x:c r="F250" s="122" t="n">
        <x:f>IF(E250="","",ROUND(E250*'00_Eingabe'!$B$18,0))</x:f>
        <x:v>57</x:v>
      </x:c>
      <x:c r="G250" s="123" t="n">
        <x:f>IF(A250="","",IF(O250&lt;&gt;"",O250,IF(B250="Nebensaison",IF(C250="Wochenende",'00_Eingabe'!$E$24,'00_Eingabe'!$D$24),IF(B250="Hauptsaison",IF(C250="Wochenende",'00_Eingabe'!$E$25,'00_Eingabe'!$D$25),IF(B250="Weihnachten",IF(C250="Wochenende",'00_Eingabe'!$E$26,'00_Eingabe'!$D$26),IF(C250="Wochenende",'00_Eingabe'!$E$27,'00_Eingabe'!$D$27))))))</x:f>
        <x:v>0.85</x:v>
      </x:c>
      <x:c r="H250" s="122" t="n">
        <x:f>IF(OR(A250="",G250=""),"",ROUND('00_Eingabe'!$B$9*G250,0))</x:f>
        <x:v>3</x:v>
      </x:c>
      <x:c r="I250" s="122" t="n">
        <x:f>IF(H250="","",ROUND(H250*'00_Eingabe'!$B$19,0))</x:f>
        <x:v>7</x:v>
      </x:c>
      <x:c r="J250" s="122" t="n">
        <x:f>IF(OR(F250="",I250=""),"",F250+I250)</x:f>
        <x:v>64</x:v>
      </x:c>
      <x:c r="K250" s="122" t="n">
        <x:f>IF(J250="","",ROUND(J250*'00_Eingabe'!$B$16*(1+'00_Eingabe'!$B$14),0))</x:f>
        <x:v>74</x:v>
      </x:c>
      <x:c r="L250" s="122" t="n">
        <x:f>IF(B250="Betriebsferien",0,ROUND(J250*'00_Eingabe'!$B$40,0)+IF(C250="Wochenende",'00_Eingabe'!$B$42,'00_Eingabe'!$B$41))</x:f>
        <x:v>63</x:v>
      </x:c>
      <x:c r="M250" s="123" t="n">
        <x:f>IF(J250="","",ROUND(J250*'00_Eingabe'!$B$17*(1+'00_Eingabe'!$B$15),0))</x:f>
        <x:v>74</x:v>
      </x:c>
      <x:c r="N250" s="106"/>
      <x:c r="O250" s="106"/>
      <x:c r="P250" s="116"/>
      <x:c r="Q250" s="213" t="n">
        <x:f>IF(C250="Wochenende",1,0)</x:f>
        <x:v>0</x:v>
      </x:c>
      <x:c r="R250" s="213" t="n">
        <x:f>IF(AND(B250&lt;&gt;"Betriebsferien",OR(WEEKDAY(A250,2)=2,WEEKDAY(A250,2)=4)),1,0)</x:f>
        <x:v>1</x:v>
      </x:c>
      <x:c r="S250" s="214" t="n">
        <x:f>R250*MIN(1,'00_Eingabe'!$B$62/'00_Eingabe'!$B$61)</x:f>
        <x:v>0.5</x:v>
      </x:c>
      <x:c r="T250" s="213" t="n">
        <x:f>IF(B250="Betriebsferien",0,IF(B250="Nebensaison",IF(OR(WEEKDAY(A250,2)=1,WEEKDAY(A250,2)=3,WEEKDAY(A250,2)=5),1,0),IF(C250="Unterwoche",1,0)))</x:f>
        <x:v>1</x:v>
      </x:c>
      <x:c r="U250" s="213" t="n">
        <x:f>IF(B250="Betriebsferien",0,'00_Eingabe'!$G$24)</x:f>
        <x:v>8</x:v>
      </x:c>
    </x:row>
    <x:row r="251">
      <x:c r="A251" s="121" t="n">
        <x:f>IF(ROW()-4&lt;DATE('00_Eingabe'!$B$7+1,1,1)-DATE('00_Eingabe'!$B$7,1,1),DATE('00_Eingabe'!$B$7,1,1)+ROW()-4,"")</x:f>
        <x:v>45905</x:v>
      </x:c>
      <x:c r="B251" s="122" t="str">
        <x:f>IF(A251="","",IF(OR(AND(MONTH(A251)=12,DAY(A251)&gt;=20),AND(MONTH(A251)=1,DAY(A251)&lt;=2)),"Weihnachten",IF(OR(AND(MONTH(A251)=11,DAY(A251)&gt;=24),AND(MONTH(A251)=12,DAY(A251)&lt;=7)),"Betriebsferien",IF(OR(AND(MONTH(A251)=1,DAY(A251)&gt;=3),MONTH(A251)=2,MONTH(A251)=3,MONTH(A251)=4,MONTH(A251)=10,MONTH(A251)=11,AND(MONTH(A251)=12,DAY(A251)&lt;=15)),"Nebensaison","Hauptsaison"))))</x:f>
        <x:v>Hauptsaison</x:v>
      </x:c>
      <x:c r="C251" s="122" t="str">
        <x:f>IF(A251="","",IF(WEEKDAY(A251,2)&gt;=6,"Wochenende","Unterwoche"))</x:f>
        <x:v>Unterwoche</x:v>
      </x:c>
      <x:c r="D251" s="123" t="n">
        <x:f>IF(A251="","",IF(N251&lt;&gt;"",N251,IF(B251="Nebensaison",IF(C251="Wochenende",'00_Eingabe'!$C$24,'00_Eingabe'!$B$24),IF(B251="Hauptsaison",IF(C251="Wochenende",'00_Eingabe'!$C$25,'00_Eingabe'!$B$25),IF(B251="Weihnachten",IF(C251="Wochenende",'00_Eingabe'!$C$26,'00_Eingabe'!$B$26),IF(C251="Wochenende",'00_Eingabe'!$C$27,'00_Eingabe'!$B$27))))))</x:f>
        <x:v>0.85</x:v>
      </x:c>
      <x:c r="E251" s="122" t="n">
        <x:f>IF(OR(A251="",D251=""),"",ROUND('00_Eingabe'!$B$8*D251,0))</x:f>
        <x:v>30</x:v>
      </x:c>
      <x:c r="F251" s="122" t="n">
        <x:f>IF(E251="","",ROUND(E251*'00_Eingabe'!$B$18,0))</x:f>
        <x:v>57</x:v>
      </x:c>
      <x:c r="G251" s="123" t="n">
        <x:f>IF(A251="","",IF(O251&lt;&gt;"",O251,IF(B251="Nebensaison",IF(C251="Wochenende",'00_Eingabe'!$E$24,'00_Eingabe'!$D$24),IF(B251="Hauptsaison",IF(C251="Wochenende",'00_Eingabe'!$E$25,'00_Eingabe'!$D$25),IF(B251="Weihnachten",IF(C251="Wochenende",'00_Eingabe'!$E$26,'00_Eingabe'!$D$26),IF(C251="Wochenende",'00_Eingabe'!$E$27,'00_Eingabe'!$D$27))))))</x:f>
        <x:v>0.85</x:v>
      </x:c>
      <x:c r="H251" s="122" t="n">
        <x:f>IF(OR(A251="",G251=""),"",ROUND('00_Eingabe'!$B$9*G251,0))</x:f>
        <x:v>3</x:v>
      </x:c>
      <x:c r="I251" s="122" t="n">
        <x:f>IF(H251="","",ROUND(H251*'00_Eingabe'!$B$19,0))</x:f>
        <x:v>7</x:v>
      </x:c>
      <x:c r="J251" s="122" t="n">
        <x:f>IF(OR(F251="",I251=""),"",F251+I251)</x:f>
        <x:v>64</x:v>
      </x:c>
      <x:c r="K251" s="122" t="n">
        <x:f>IF(J251="","",ROUND(J251*'00_Eingabe'!$B$16*(1+'00_Eingabe'!$B$14),0))</x:f>
        <x:v>74</x:v>
      </x:c>
      <x:c r="L251" s="122" t="n">
        <x:f>IF(B251="Betriebsferien",0,ROUND(J251*'00_Eingabe'!$B$40,0)+IF(C251="Wochenende",'00_Eingabe'!$B$42,'00_Eingabe'!$B$41))</x:f>
        <x:v>63</x:v>
      </x:c>
      <x:c r="M251" s="123" t="n">
        <x:f>IF(J251="","",ROUND(J251*'00_Eingabe'!$B$17*(1+'00_Eingabe'!$B$15),0))</x:f>
        <x:v>74</x:v>
      </x:c>
      <x:c r="N251" s="106"/>
      <x:c r="O251" s="106"/>
      <x:c r="P251" s="116"/>
      <x:c r="Q251" s="213" t="n">
        <x:f>IF(C251="Wochenende",1,0)</x:f>
        <x:v>0</x:v>
      </x:c>
      <x:c r="R251" s="213" t="n">
        <x:f>IF(AND(B251&lt;&gt;"Betriebsferien",OR(WEEKDAY(A251,2)=2,WEEKDAY(A251,2)=4)),1,0)</x:f>
        <x:v>0</x:v>
      </x:c>
      <x:c r="S251" s="214" t="n">
        <x:f>R251*MIN(1,'00_Eingabe'!$B$62/'00_Eingabe'!$B$61)</x:f>
        <x:v>0</x:v>
      </x:c>
      <x:c r="T251" s="213" t="n">
        <x:f>IF(B251="Betriebsferien",0,IF(B251="Nebensaison",IF(OR(WEEKDAY(A251,2)=1,WEEKDAY(A251,2)=3,WEEKDAY(A251,2)=5),1,0),IF(C251="Unterwoche",1,0)))</x:f>
        <x:v>1</x:v>
      </x:c>
      <x:c r="U251" s="213" t="n">
        <x:f>IF(B251="Betriebsferien",0,'00_Eingabe'!$G$24)</x:f>
        <x:v>8</x:v>
      </x:c>
    </x:row>
    <x:row r="252">
      <x:c r="A252" s="121" t="n">
        <x:f>IF(ROW()-4&lt;DATE('00_Eingabe'!$B$7+1,1,1)-DATE('00_Eingabe'!$B$7,1,1),DATE('00_Eingabe'!$B$7,1,1)+ROW()-4,"")</x:f>
        <x:v>45906</x:v>
      </x:c>
      <x:c r="B252" s="122" t="str">
        <x:f>IF(A252="","",IF(OR(AND(MONTH(A252)=12,DAY(A252)&gt;=20),AND(MONTH(A252)=1,DAY(A252)&lt;=2)),"Weihnachten",IF(OR(AND(MONTH(A252)=11,DAY(A252)&gt;=24),AND(MONTH(A252)=12,DAY(A252)&lt;=7)),"Betriebsferien",IF(OR(AND(MONTH(A252)=1,DAY(A252)&gt;=3),MONTH(A252)=2,MONTH(A252)=3,MONTH(A252)=4,MONTH(A252)=10,MONTH(A252)=11,AND(MONTH(A252)=12,DAY(A252)&lt;=15)),"Nebensaison","Hauptsaison"))))</x:f>
        <x:v>Hauptsaison</x:v>
      </x:c>
      <x:c r="C252" s="122" t="str">
        <x:f>IF(A252="","",IF(WEEKDAY(A252,2)&gt;=6,"Wochenende","Unterwoche"))</x:f>
        <x:v>Wochenende</x:v>
      </x:c>
      <x:c r="D252" s="123" t="n">
        <x:f>IF(A252="","",IF(N252&lt;&gt;"",N252,IF(B252="Nebensaison",IF(C252="Wochenende",'00_Eingabe'!$C$24,'00_Eingabe'!$B$24),IF(B252="Hauptsaison",IF(C252="Wochenende",'00_Eingabe'!$C$25,'00_Eingabe'!$B$25),IF(B252="Weihnachten",IF(C252="Wochenende",'00_Eingabe'!$C$26,'00_Eingabe'!$B$26),IF(C252="Wochenende",'00_Eingabe'!$C$27,'00_Eingabe'!$B$27))))))</x:f>
        <x:v>0.9</x:v>
      </x:c>
      <x:c r="E252" s="122" t="n">
        <x:f>IF(OR(A252="",D252=""),"",ROUND('00_Eingabe'!$B$8*D252,0))</x:f>
        <x:v>32</x:v>
      </x:c>
      <x:c r="F252" s="122" t="n">
        <x:f>IF(E252="","",ROUND(E252*'00_Eingabe'!$B$18,0))</x:f>
        <x:v>61</x:v>
      </x:c>
      <x:c r="G252" s="123" t="n">
        <x:f>IF(A252="","",IF(O252&lt;&gt;"",O252,IF(B252="Nebensaison",IF(C252="Wochenende",'00_Eingabe'!$E$24,'00_Eingabe'!$D$24),IF(B252="Hauptsaison",IF(C252="Wochenende",'00_Eingabe'!$E$25,'00_Eingabe'!$D$25),IF(B252="Weihnachten",IF(C252="Wochenende",'00_Eingabe'!$E$26,'00_Eingabe'!$D$26),IF(C252="Wochenende",'00_Eingabe'!$E$27,'00_Eingabe'!$D$27))))))</x:f>
        <x:v>0.9</x:v>
      </x:c>
      <x:c r="H252" s="122" t="n">
        <x:f>IF(OR(A252="",G252=""),"",ROUND('00_Eingabe'!$B$9*G252,0))</x:f>
        <x:v>4</x:v>
      </x:c>
      <x:c r="I252" s="122" t="n">
        <x:f>IF(H252="","",ROUND(H252*'00_Eingabe'!$B$19,0))</x:f>
        <x:v>9</x:v>
      </x:c>
      <x:c r="J252" s="122" t="n">
        <x:f>IF(OR(F252="",I252=""),"",F252+I252)</x:f>
        <x:v>70</x:v>
      </x:c>
      <x:c r="K252" s="122" t="n">
        <x:f>IF(J252="","",ROUND(J252*'00_Eingabe'!$B$16*(1+'00_Eingabe'!$B$14),0))</x:f>
        <x:v>81</x:v>
      </x:c>
      <x:c r="L252" s="122" t="n">
        <x:f>IF(B252="Betriebsferien",0,ROUND(J252*'00_Eingabe'!$B$40,0)+IF(C252="Wochenende",'00_Eingabe'!$B$42,'00_Eingabe'!$B$41))</x:f>
        <x:v>93</x:v>
      </x:c>
      <x:c r="M252" s="123" t="n">
        <x:f>IF(J252="","",ROUND(J252*'00_Eingabe'!$B$17*(1+'00_Eingabe'!$B$15),0))</x:f>
        <x:v>81</x:v>
      </x:c>
      <x:c r="N252" s="106"/>
      <x:c r="O252" s="106"/>
      <x:c r="P252" s="116"/>
      <x:c r="Q252" s="213" t="n">
        <x:f>IF(C252="Wochenende",1,0)</x:f>
        <x:v>1</x:v>
      </x:c>
      <x:c r="R252" s="213" t="n">
        <x:f>IF(AND(B252&lt;&gt;"Betriebsferien",OR(WEEKDAY(A252,2)=2,WEEKDAY(A252,2)=4)),1,0)</x:f>
        <x:v>0</x:v>
      </x:c>
      <x:c r="S252" s="214" t="n">
        <x:f>R252*MIN(1,'00_Eingabe'!$B$62/'00_Eingabe'!$B$61)</x:f>
        <x:v>0</x:v>
      </x:c>
      <x:c r="T252" s="213" t="n">
        <x:f>IF(B252="Betriebsferien",0,IF(B252="Nebensaison",IF(OR(WEEKDAY(A252,2)=1,WEEKDAY(A252,2)=3,WEEKDAY(A252,2)=5),1,0),IF(C252="Unterwoche",1,0)))</x:f>
        <x:v>0</x:v>
      </x:c>
      <x:c r="U252" s="213" t="n">
        <x:f>IF(B252="Betriebsferien",0,'00_Eingabe'!$G$24)</x:f>
        <x:v>8</x:v>
      </x:c>
    </x:row>
    <x:row r="253">
      <x:c r="A253" s="121" t="n">
        <x:f>IF(ROW()-4&lt;DATE('00_Eingabe'!$B$7+1,1,1)-DATE('00_Eingabe'!$B$7,1,1),DATE('00_Eingabe'!$B$7,1,1)+ROW()-4,"")</x:f>
        <x:v>45907</x:v>
      </x:c>
      <x:c r="B253" s="122" t="str">
        <x:f>IF(A253="","",IF(OR(AND(MONTH(A253)=12,DAY(A253)&gt;=20),AND(MONTH(A253)=1,DAY(A253)&lt;=2)),"Weihnachten",IF(OR(AND(MONTH(A253)=11,DAY(A253)&gt;=24),AND(MONTH(A253)=12,DAY(A253)&lt;=7)),"Betriebsferien",IF(OR(AND(MONTH(A253)=1,DAY(A253)&gt;=3),MONTH(A253)=2,MONTH(A253)=3,MONTH(A253)=4,MONTH(A253)=10,MONTH(A253)=11,AND(MONTH(A253)=12,DAY(A253)&lt;=15)),"Nebensaison","Hauptsaison"))))</x:f>
        <x:v>Hauptsaison</x:v>
      </x:c>
      <x:c r="C253" s="122" t="str">
        <x:f>IF(A253="","",IF(WEEKDAY(A253,2)&gt;=6,"Wochenende","Unterwoche"))</x:f>
        <x:v>Wochenende</x:v>
      </x:c>
      <x:c r="D253" s="123" t="n">
        <x:f>IF(A253="","",IF(N253&lt;&gt;"",N253,IF(B253="Nebensaison",IF(C253="Wochenende",'00_Eingabe'!$C$24,'00_Eingabe'!$B$24),IF(B253="Hauptsaison",IF(C253="Wochenende",'00_Eingabe'!$C$25,'00_Eingabe'!$B$25),IF(B253="Weihnachten",IF(C253="Wochenende",'00_Eingabe'!$C$26,'00_Eingabe'!$B$26),IF(C253="Wochenende",'00_Eingabe'!$C$27,'00_Eingabe'!$B$27))))))</x:f>
        <x:v>0.9</x:v>
      </x:c>
      <x:c r="E253" s="122" t="n">
        <x:f>IF(OR(A253="",D253=""),"",ROUND('00_Eingabe'!$B$8*D253,0))</x:f>
        <x:v>32</x:v>
      </x:c>
      <x:c r="F253" s="122" t="n">
        <x:f>IF(E253="","",ROUND(E253*'00_Eingabe'!$B$18,0))</x:f>
        <x:v>61</x:v>
      </x:c>
      <x:c r="G253" s="123" t="n">
        <x:f>IF(A253="","",IF(O253&lt;&gt;"",O253,IF(B253="Nebensaison",IF(C253="Wochenende",'00_Eingabe'!$E$24,'00_Eingabe'!$D$24),IF(B253="Hauptsaison",IF(C253="Wochenende",'00_Eingabe'!$E$25,'00_Eingabe'!$D$25),IF(B253="Weihnachten",IF(C253="Wochenende",'00_Eingabe'!$E$26,'00_Eingabe'!$D$26),IF(C253="Wochenende",'00_Eingabe'!$E$27,'00_Eingabe'!$D$27))))))</x:f>
        <x:v>0.9</x:v>
      </x:c>
      <x:c r="H253" s="122" t="n">
        <x:f>IF(OR(A253="",G253=""),"",ROUND('00_Eingabe'!$B$9*G253,0))</x:f>
        <x:v>4</x:v>
      </x:c>
      <x:c r="I253" s="122" t="n">
        <x:f>IF(H253="","",ROUND(H253*'00_Eingabe'!$B$19,0))</x:f>
        <x:v>9</x:v>
      </x:c>
      <x:c r="J253" s="122" t="n">
        <x:f>IF(OR(F253="",I253=""),"",F253+I253)</x:f>
        <x:v>70</x:v>
      </x:c>
      <x:c r="K253" s="122" t="n">
        <x:f>IF(J253="","",ROUND(J253*'00_Eingabe'!$B$16*(1+'00_Eingabe'!$B$14),0))</x:f>
        <x:v>81</x:v>
      </x:c>
      <x:c r="L253" s="122" t="n">
        <x:f>IF(B253="Betriebsferien",0,ROUND(J253*'00_Eingabe'!$B$40,0)+IF(C253="Wochenende",'00_Eingabe'!$B$42,'00_Eingabe'!$B$41))</x:f>
        <x:v>93</x:v>
      </x:c>
      <x:c r="M253" s="123" t="n">
        <x:f>IF(J253="","",ROUND(J253*'00_Eingabe'!$B$17*(1+'00_Eingabe'!$B$15),0))</x:f>
        <x:v>81</x:v>
      </x:c>
      <x:c r="N253" s="106"/>
      <x:c r="O253" s="106"/>
      <x:c r="P253" s="116"/>
      <x:c r="Q253" s="213" t="n">
        <x:f>IF(C253="Wochenende",1,0)</x:f>
        <x:v>1</x:v>
      </x:c>
      <x:c r="R253" s="213" t="n">
        <x:f>IF(AND(B253&lt;&gt;"Betriebsferien",OR(WEEKDAY(A253,2)=2,WEEKDAY(A253,2)=4)),1,0)</x:f>
        <x:v>0</x:v>
      </x:c>
      <x:c r="S253" s="214" t="n">
        <x:f>R253*MIN(1,'00_Eingabe'!$B$62/'00_Eingabe'!$B$61)</x:f>
        <x:v>0</x:v>
      </x:c>
      <x:c r="T253" s="213" t="n">
        <x:f>IF(B253="Betriebsferien",0,IF(B253="Nebensaison",IF(OR(WEEKDAY(A253,2)=1,WEEKDAY(A253,2)=3,WEEKDAY(A253,2)=5),1,0),IF(C253="Unterwoche",1,0)))</x:f>
        <x:v>0</x:v>
      </x:c>
      <x:c r="U253" s="213" t="n">
        <x:f>IF(B253="Betriebsferien",0,'00_Eingabe'!$G$24)</x:f>
        <x:v>8</x:v>
      </x:c>
    </x:row>
    <x:row r="254">
      <x:c r="A254" s="121" t="n">
        <x:f>IF(ROW()-4&lt;DATE('00_Eingabe'!$B$7+1,1,1)-DATE('00_Eingabe'!$B$7,1,1),DATE('00_Eingabe'!$B$7,1,1)+ROW()-4,"")</x:f>
        <x:v>45908</x:v>
      </x:c>
      <x:c r="B254" s="122" t="str">
        <x:f>IF(A254="","",IF(OR(AND(MONTH(A254)=12,DAY(A254)&gt;=20),AND(MONTH(A254)=1,DAY(A254)&lt;=2)),"Weihnachten",IF(OR(AND(MONTH(A254)=11,DAY(A254)&gt;=24),AND(MONTH(A254)=12,DAY(A254)&lt;=7)),"Betriebsferien",IF(OR(AND(MONTH(A254)=1,DAY(A254)&gt;=3),MONTH(A254)=2,MONTH(A254)=3,MONTH(A254)=4,MONTH(A254)=10,MONTH(A254)=11,AND(MONTH(A254)=12,DAY(A254)&lt;=15)),"Nebensaison","Hauptsaison"))))</x:f>
        <x:v>Hauptsaison</x:v>
      </x:c>
      <x:c r="C254" s="122" t="str">
        <x:f>IF(A254="","",IF(WEEKDAY(A254,2)&gt;=6,"Wochenende","Unterwoche"))</x:f>
        <x:v>Unterwoche</x:v>
      </x:c>
      <x:c r="D254" s="123" t="n">
        <x:f>IF(A254="","",IF(N254&lt;&gt;"",N254,IF(B254="Nebensaison",IF(C254="Wochenende",'00_Eingabe'!$C$24,'00_Eingabe'!$B$24),IF(B254="Hauptsaison",IF(C254="Wochenende",'00_Eingabe'!$C$25,'00_Eingabe'!$B$25),IF(B254="Weihnachten",IF(C254="Wochenende",'00_Eingabe'!$C$26,'00_Eingabe'!$B$26),IF(C254="Wochenende",'00_Eingabe'!$C$27,'00_Eingabe'!$B$27))))))</x:f>
        <x:v>0.85</x:v>
      </x:c>
      <x:c r="E254" s="122" t="n">
        <x:f>IF(OR(A254="",D254=""),"",ROUND('00_Eingabe'!$B$8*D254,0))</x:f>
        <x:v>30</x:v>
      </x:c>
      <x:c r="F254" s="122" t="n">
        <x:f>IF(E254="","",ROUND(E254*'00_Eingabe'!$B$18,0))</x:f>
        <x:v>57</x:v>
      </x:c>
      <x:c r="G254" s="123" t="n">
        <x:f>IF(A254="","",IF(O254&lt;&gt;"",O254,IF(B254="Nebensaison",IF(C254="Wochenende",'00_Eingabe'!$E$24,'00_Eingabe'!$D$24),IF(B254="Hauptsaison",IF(C254="Wochenende",'00_Eingabe'!$E$25,'00_Eingabe'!$D$25),IF(B254="Weihnachten",IF(C254="Wochenende",'00_Eingabe'!$E$26,'00_Eingabe'!$D$26),IF(C254="Wochenende",'00_Eingabe'!$E$27,'00_Eingabe'!$D$27))))))</x:f>
        <x:v>0.85</x:v>
      </x:c>
      <x:c r="H254" s="122" t="n">
        <x:f>IF(OR(A254="",G254=""),"",ROUND('00_Eingabe'!$B$9*G254,0))</x:f>
        <x:v>3</x:v>
      </x:c>
      <x:c r="I254" s="122" t="n">
        <x:f>IF(H254="","",ROUND(H254*'00_Eingabe'!$B$19,0))</x:f>
        <x:v>7</x:v>
      </x:c>
      <x:c r="J254" s="122" t="n">
        <x:f>IF(OR(F254="",I254=""),"",F254+I254)</x:f>
        <x:v>64</x:v>
      </x:c>
      <x:c r="K254" s="122" t="n">
        <x:f>IF(J254="","",ROUND(J254*'00_Eingabe'!$B$16*(1+'00_Eingabe'!$B$14),0))</x:f>
        <x:v>74</x:v>
      </x:c>
      <x:c r="L254" s="122" t="n">
        <x:f>IF(B254="Betriebsferien",0,ROUND(J254*'00_Eingabe'!$B$40,0)+IF(C254="Wochenende",'00_Eingabe'!$B$42,'00_Eingabe'!$B$41))</x:f>
        <x:v>63</x:v>
      </x:c>
      <x:c r="M254" s="123" t="n">
        <x:f>IF(J254="","",ROUND(J254*'00_Eingabe'!$B$17*(1+'00_Eingabe'!$B$15),0))</x:f>
        <x:v>74</x:v>
      </x:c>
      <x:c r="N254" s="106"/>
      <x:c r="O254" s="106"/>
      <x:c r="P254" s="116"/>
      <x:c r="Q254" s="213" t="n">
        <x:f>IF(C254="Wochenende",1,0)</x:f>
        <x:v>0</x:v>
      </x:c>
      <x:c r="R254" s="213" t="n">
        <x:f>IF(AND(B254&lt;&gt;"Betriebsferien",OR(WEEKDAY(A254,2)=2,WEEKDAY(A254,2)=4)),1,0)</x:f>
        <x:v>0</x:v>
      </x:c>
      <x:c r="S254" s="214" t="n">
        <x:f>R254*MIN(1,'00_Eingabe'!$B$62/'00_Eingabe'!$B$61)</x:f>
        <x:v>0</x:v>
      </x:c>
      <x:c r="T254" s="213" t="n">
        <x:f>IF(B254="Betriebsferien",0,IF(B254="Nebensaison",IF(OR(WEEKDAY(A254,2)=1,WEEKDAY(A254,2)=3,WEEKDAY(A254,2)=5),1,0),IF(C254="Unterwoche",1,0)))</x:f>
        <x:v>1</x:v>
      </x:c>
      <x:c r="U254" s="213" t="n">
        <x:f>IF(B254="Betriebsferien",0,'00_Eingabe'!$G$24)</x:f>
        <x:v>8</x:v>
      </x:c>
    </x:row>
    <x:row r="255">
      <x:c r="A255" s="121" t="n">
        <x:f>IF(ROW()-4&lt;DATE('00_Eingabe'!$B$7+1,1,1)-DATE('00_Eingabe'!$B$7,1,1),DATE('00_Eingabe'!$B$7,1,1)+ROW()-4,"")</x:f>
        <x:v>45909</x:v>
      </x:c>
      <x:c r="B255" s="122" t="str">
        <x:f>IF(A255="","",IF(OR(AND(MONTH(A255)=12,DAY(A255)&gt;=20),AND(MONTH(A255)=1,DAY(A255)&lt;=2)),"Weihnachten",IF(OR(AND(MONTH(A255)=11,DAY(A255)&gt;=24),AND(MONTH(A255)=12,DAY(A255)&lt;=7)),"Betriebsferien",IF(OR(AND(MONTH(A255)=1,DAY(A255)&gt;=3),MONTH(A255)=2,MONTH(A255)=3,MONTH(A255)=4,MONTH(A255)=10,MONTH(A255)=11,AND(MONTH(A255)=12,DAY(A255)&lt;=15)),"Nebensaison","Hauptsaison"))))</x:f>
        <x:v>Hauptsaison</x:v>
      </x:c>
      <x:c r="C255" s="122" t="str">
        <x:f>IF(A255="","",IF(WEEKDAY(A255,2)&gt;=6,"Wochenende","Unterwoche"))</x:f>
        <x:v>Unterwoche</x:v>
      </x:c>
      <x:c r="D255" s="123" t="n">
        <x:f>IF(A255="","",IF(N255&lt;&gt;"",N255,IF(B255="Nebensaison",IF(C255="Wochenende",'00_Eingabe'!$C$24,'00_Eingabe'!$B$24),IF(B255="Hauptsaison",IF(C255="Wochenende",'00_Eingabe'!$C$25,'00_Eingabe'!$B$25),IF(B255="Weihnachten",IF(C255="Wochenende",'00_Eingabe'!$C$26,'00_Eingabe'!$B$26),IF(C255="Wochenende",'00_Eingabe'!$C$27,'00_Eingabe'!$B$27))))))</x:f>
        <x:v>0.85</x:v>
      </x:c>
      <x:c r="E255" s="122" t="n">
        <x:f>IF(OR(A255="",D255=""),"",ROUND('00_Eingabe'!$B$8*D255,0))</x:f>
        <x:v>30</x:v>
      </x:c>
      <x:c r="F255" s="122" t="n">
        <x:f>IF(E255="","",ROUND(E255*'00_Eingabe'!$B$18,0))</x:f>
        <x:v>57</x:v>
      </x:c>
      <x:c r="G255" s="123" t="n">
        <x:f>IF(A255="","",IF(O255&lt;&gt;"",O255,IF(B255="Nebensaison",IF(C255="Wochenende",'00_Eingabe'!$E$24,'00_Eingabe'!$D$24),IF(B255="Hauptsaison",IF(C255="Wochenende",'00_Eingabe'!$E$25,'00_Eingabe'!$D$25),IF(B255="Weihnachten",IF(C255="Wochenende",'00_Eingabe'!$E$26,'00_Eingabe'!$D$26),IF(C255="Wochenende",'00_Eingabe'!$E$27,'00_Eingabe'!$D$27))))))</x:f>
        <x:v>0.85</x:v>
      </x:c>
      <x:c r="H255" s="122" t="n">
        <x:f>IF(OR(A255="",G255=""),"",ROUND('00_Eingabe'!$B$9*G255,0))</x:f>
        <x:v>3</x:v>
      </x:c>
      <x:c r="I255" s="122" t="n">
        <x:f>IF(H255="","",ROUND(H255*'00_Eingabe'!$B$19,0))</x:f>
        <x:v>7</x:v>
      </x:c>
      <x:c r="J255" s="122" t="n">
        <x:f>IF(OR(F255="",I255=""),"",F255+I255)</x:f>
        <x:v>64</x:v>
      </x:c>
      <x:c r="K255" s="122" t="n">
        <x:f>IF(J255="","",ROUND(J255*'00_Eingabe'!$B$16*(1+'00_Eingabe'!$B$14),0))</x:f>
        <x:v>74</x:v>
      </x:c>
      <x:c r="L255" s="122" t="n">
        <x:f>IF(B255="Betriebsferien",0,ROUND(J255*'00_Eingabe'!$B$40,0)+IF(C255="Wochenende",'00_Eingabe'!$B$42,'00_Eingabe'!$B$41))</x:f>
        <x:v>63</x:v>
      </x:c>
      <x:c r="M255" s="123" t="n">
        <x:f>IF(J255="","",ROUND(J255*'00_Eingabe'!$B$17*(1+'00_Eingabe'!$B$15),0))</x:f>
        <x:v>74</x:v>
      </x:c>
      <x:c r="N255" s="106"/>
      <x:c r="O255" s="106"/>
      <x:c r="P255" s="116"/>
      <x:c r="Q255" s="213" t="n">
        <x:f>IF(C255="Wochenende",1,0)</x:f>
        <x:v>0</x:v>
      </x:c>
      <x:c r="R255" s="213" t="n">
        <x:f>IF(AND(B255&lt;&gt;"Betriebsferien",OR(WEEKDAY(A255,2)=2,WEEKDAY(A255,2)=4)),1,0)</x:f>
        <x:v>1</x:v>
      </x:c>
      <x:c r="S255" s="214" t="n">
        <x:f>R255*MIN(1,'00_Eingabe'!$B$62/'00_Eingabe'!$B$61)</x:f>
        <x:v>0.5</x:v>
      </x:c>
      <x:c r="T255" s="213" t="n">
        <x:f>IF(B255="Betriebsferien",0,IF(B255="Nebensaison",IF(OR(WEEKDAY(A255,2)=1,WEEKDAY(A255,2)=3,WEEKDAY(A255,2)=5),1,0),IF(C255="Unterwoche",1,0)))</x:f>
        <x:v>1</x:v>
      </x:c>
      <x:c r="U255" s="213" t="n">
        <x:f>IF(B255="Betriebsferien",0,'00_Eingabe'!$G$24)</x:f>
        <x:v>8</x:v>
      </x:c>
    </x:row>
    <x:row r="256">
      <x:c r="A256" s="121" t="n">
        <x:f>IF(ROW()-4&lt;DATE('00_Eingabe'!$B$7+1,1,1)-DATE('00_Eingabe'!$B$7,1,1),DATE('00_Eingabe'!$B$7,1,1)+ROW()-4,"")</x:f>
        <x:v>45910</x:v>
      </x:c>
      <x:c r="B256" s="122" t="str">
        <x:f>IF(A256="","",IF(OR(AND(MONTH(A256)=12,DAY(A256)&gt;=20),AND(MONTH(A256)=1,DAY(A256)&lt;=2)),"Weihnachten",IF(OR(AND(MONTH(A256)=11,DAY(A256)&gt;=24),AND(MONTH(A256)=12,DAY(A256)&lt;=7)),"Betriebsferien",IF(OR(AND(MONTH(A256)=1,DAY(A256)&gt;=3),MONTH(A256)=2,MONTH(A256)=3,MONTH(A256)=4,MONTH(A256)=10,MONTH(A256)=11,AND(MONTH(A256)=12,DAY(A256)&lt;=15)),"Nebensaison","Hauptsaison"))))</x:f>
        <x:v>Hauptsaison</x:v>
      </x:c>
      <x:c r="C256" s="122" t="str">
        <x:f>IF(A256="","",IF(WEEKDAY(A256,2)&gt;=6,"Wochenende","Unterwoche"))</x:f>
        <x:v>Unterwoche</x:v>
      </x:c>
      <x:c r="D256" s="123" t="n">
        <x:f>IF(A256="","",IF(N256&lt;&gt;"",N256,IF(B256="Nebensaison",IF(C256="Wochenende",'00_Eingabe'!$C$24,'00_Eingabe'!$B$24),IF(B256="Hauptsaison",IF(C256="Wochenende",'00_Eingabe'!$C$25,'00_Eingabe'!$B$25),IF(B256="Weihnachten",IF(C256="Wochenende",'00_Eingabe'!$C$26,'00_Eingabe'!$B$26),IF(C256="Wochenende",'00_Eingabe'!$C$27,'00_Eingabe'!$B$27))))))</x:f>
        <x:v>0.85</x:v>
      </x:c>
      <x:c r="E256" s="122" t="n">
        <x:f>IF(OR(A256="",D256=""),"",ROUND('00_Eingabe'!$B$8*D256,0))</x:f>
        <x:v>30</x:v>
      </x:c>
      <x:c r="F256" s="122" t="n">
        <x:f>IF(E256="","",ROUND(E256*'00_Eingabe'!$B$18,0))</x:f>
        <x:v>57</x:v>
      </x:c>
      <x:c r="G256" s="123" t="n">
        <x:f>IF(A256="","",IF(O256&lt;&gt;"",O256,IF(B256="Nebensaison",IF(C256="Wochenende",'00_Eingabe'!$E$24,'00_Eingabe'!$D$24),IF(B256="Hauptsaison",IF(C256="Wochenende",'00_Eingabe'!$E$25,'00_Eingabe'!$D$25),IF(B256="Weihnachten",IF(C256="Wochenende",'00_Eingabe'!$E$26,'00_Eingabe'!$D$26),IF(C256="Wochenende",'00_Eingabe'!$E$27,'00_Eingabe'!$D$27))))))</x:f>
        <x:v>0.85</x:v>
      </x:c>
      <x:c r="H256" s="122" t="n">
        <x:f>IF(OR(A256="",G256=""),"",ROUND('00_Eingabe'!$B$9*G256,0))</x:f>
        <x:v>3</x:v>
      </x:c>
      <x:c r="I256" s="122" t="n">
        <x:f>IF(H256="","",ROUND(H256*'00_Eingabe'!$B$19,0))</x:f>
        <x:v>7</x:v>
      </x:c>
      <x:c r="J256" s="122" t="n">
        <x:f>IF(OR(F256="",I256=""),"",F256+I256)</x:f>
        <x:v>64</x:v>
      </x:c>
      <x:c r="K256" s="122" t="n">
        <x:f>IF(J256="","",ROUND(J256*'00_Eingabe'!$B$16*(1+'00_Eingabe'!$B$14),0))</x:f>
        <x:v>74</x:v>
      </x:c>
      <x:c r="L256" s="122" t="n">
        <x:f>IF(B256="Betriebsferien",0,ROUND(J256*'00_Eingabe'!$B$40,0)+IF(C256="Wochenende",'00_Eingabe'!$B$42,'00_Eingabe'!$B$41))</x:f>
        <x:v>63</x:v>
      </x:c>
      <x:c r="M256" s="123" t="n">
        <x:f>IF(J256="","",ROUND(J256*'00_Eingabe'!$B$17*(1+'00_Eingabe'!$B$15),0))</x:f>
        <x:v>74</x:v>
      </x:c>
      <x:c r="N256" s="106"/>
      <x:c r="O256" s="106"/>
      <x:c r="P256" s="116"/>
      <x:c r="Q256" s="213" t="n">
        <x:f>IF(C256="Wochenende",1,0)</x:f>
        <x:v>0</x:v>
      </x:c>
      <x:c r="R256" s="213" t="n">
        <x:f>IF(AND(B256&lt;&gt;"Betriebsferien",OR(WEEKDAY(A256,2)=2,WEEKDAY(A256,2)=4)),1,0)</x:f>
        <x:v>0</x:v>
      </x:c>
      <x:c r="S256" s="214" t="n">
        <x:f>R256*MIN(1,'00_Eingabe'!$B$62/'00_Eingabe'!$B$61)</x:f>
        <x:v>0</x:v>
      </x:c>
      <x:c r="T256" s="213" t="n">
        <x:f>IF(B256="Betriebsferien",0,IF(B256="Nebensaison",IF(OR(WEEKDAY(A256,2)=1,WEEKDAY(A256,2)=3,WEEKDAY(A256,2)=5),1,0),IF(C256="Unterwoche",1,0)))</x:f>
        <x:v>1</x:v>
      </x:c>
      <x:c r="U256" s="213" t="n">
        <x:f>IF(B256="Betriebsferien",0,'00_Eingabe'!$G$24)</x:f>
        <x:v>8</x:v>
      </x:c>
    </x:row>
    <x:row r="257">
      <x:c r="A257" s="121" t="n">
        <x:f>IF(ROW()-4&lt;DATE('00_Eingabe'!$B$7+1,1,1)-DATE('00_Eingabe'!$B$7,1,1),DATE('00_Eingabe'!$B$7,1,1)+ROW()-4,"")</x:f>
        <x:v>45911</x:v>
      </x:c>
      <x:c r="B257" s="122" t="str">
        <x:f>IF(A257="","",IF(OR(AND(MONTH(A257)=12,DAY(A257)&gt;=20),AND(MONTH(A257)=1,DAY(A257)&lt;=2)),"Weihnachten",IF(OR(AND(MONTH(A257)=11,DAY(A257)&gt;=24),AND(MONTH(A257)=12,DAY(A257)&lt;=7)),"Betriebsferien",IF(OR(AND(MONTH(A257)=1,DAY(A257)&gt;=3),MONTH(A257)=2,MONTH(A257)=3,MONTH(A257)=4,MONTH(A257)=10,MONTH(A257)=11,AND(MONTH(A257)=12,DAY(A257)&lt;=15)),"Nebensaison","Hauptsaison"))))</x:f>
        <x:v>Hauptsaison</x:v>
      </x:c>
      <x:c r="C257" s="122" t="str">
        <x:f>IF(A257="","",IF(WEEKDAY(A257,2)&gt;=6,"Wochenende","Unterwoche"))</x:f>
        <x:v>Unterwoche</x:v>
      </x:c>
      <x:c r="D257" s="123" t="n">
        <x:f>IF(A257="","",IF(N257&lt;&gt;"",N257,IF(B257="Nebensaison",IF(C257="Wochenende",'00_Eingabe'!$C$24,'00_Eingabe'!$B$24),IF(B257="Hauptsaison",IF(C257="Wochenende",'00_Eingabe'!$C$25,'00_Eingabe'!$B$25),IF(B257="Weihnachten",IF(C257="Wochenende",'00_Eingabe'!$C$26,'00_Eingabe'!$B$26),IF(C257="Wochenende",'00_Eingabe'!$C$27,'00_Eingabe'!$B$27))))))</x:f>
        <x:v>0.85</x:v>
      </x:c>
      <x:c r="E257" s="122" t="n">
        <x:f>IF(OR(A257="",D257=""),"",ROUND('00_Eingabe'!$B$8*D257,0))</x:f>
        <x:v>30</x:v>
      </x:c>
      <x:c r="F257" s="122" t="n">
        <x:f>IF(E257="","",ROUND(E257*'00_Eingabe'!$B$18,0))</x:f>
        <x:v>57</x:v>
      </x:c>
      <x:c r="G257" s="123" t="n">
        <x:f>IF(A257="","",IF(O257&lt;&gt;"",O257,IF(B257="Nebensaison",IF(C257="Wochenende",'00_Eingabe'!$E$24,'00_Eingabe'!$D$24),IF(B257="Hauptsaison",IF(C257="Wochenende",'00_Eingabe'!$E$25,'00_Eingabe'!$D$25),IF(B257="Weihnachten",IF(C257="Wochenende",'00_Eingabe'!$E$26,'00_Eingabe'!$D$26),IF(C257="Wochenende",'00_Eingabe'!$E$27,'00_Eingabe'!$D$27))))))</x:f>
        <x:v>0.85</x:v>
      </x:c>
      <x:c r="H257" s="122" t="n">
        <x:f>IF(OR(A257="",G257=""),"",ROUND('00_Eingabe'!$B$9*G257,0))</x:f>
        <x:v>3</x:v>
      </x:c>
      <x:c r="I257" s="122" t="n">
        <x:f>IF(H257="","",ROUND(H257*'00_Eingabe'!$B$19,0))</x:f>
        <x:v>7</x:v>
      </x:c>
      <x:c r="J257" s="122" t="n">
        <x:f>IF(OR(F257="",I257=""),"",F257+I257)</x:f>
        <x:v>64</x:v>
      </x:c>
      <x:c r="K257" s="122" t="n">
        <x:f>IF(J257="","",ROUND(J257*'00_Eingabe'!$B$16*(1+'00_Eingabe'!$B$14),0))</x:f>
        <x:v>74</x:v>
      </x:c>
      <x:c r="L257" s="122" t="n">
        <x:f>IF(B257="Betriebsferien",0,ROUND(J257*'00_Eingabe'!$B$40,0)+IF(C257="Wochenende",'00_Eingabe'!$B$42,'00_Eingabe'!$B$41))</x:f>
        <x:v>63</x:v>
      </x:c>
      <x:c r="M257" s="123" t="n">
        <x:f>IF(J257="","",ROUND(J257*'00_Eingabe'!$B$17*(1+'00_Eingabe'!$B$15),0))</x:f>
        <x:v>74</x:v>
      </x:c>
      <x:c r="N257" s="106"/>
      <x:c r="O257" s="106"/>
      <x:c r="P257" s="116"/>
      <x:c r="Q257" s="213" t="n">
        <x:f>IF(C257="Wochenende",1,0)</x:f>
        <x:v>0</x:v>
      </x:c>
      <x:c r="R257" s="213" t="n">
        <x:f>IF(AND(B257&lt;&gt;"Betriebsferien",OR(WEEKDAY(A257,2)=2,WEEKDAY(A257,2)=4)),1,0)</x:f>
        <x:v>1</x:v>
      </x:c>
      <x:c r="S257" s="214" t="n">
        <x:f>R257*MIN(1,'00_Eingabe'!$B$62/'00_Eingabe'!$B$61)</x:f>
        <x:v>0.5</x:v>
      </x:c>
      <x:c r="T257" s="213" t="n">
        <x:f>IF(B257="Betriebsferien",0,IF(B257="Nebensaison",IF(OR(WEEKDAY(A257,2)=1,WEEKDAY(A257,2)=3,WEEKDAY(A257,2)=5),1,0),IF(C257="Unterwoche",1,0)))</x:f>
        <x:v>1</x:v>
      </x:c>
      <x:c r="U257" s="213" t="n">
        <x:f>IF(B257="Betriebsferien",0,'00_Eingabe'!$G$24)</x:f>
        <x:v>8</x:v>
      </x:c>
    </x:row>
    <x:row r="258">
      <x:c r="A258" s="121" t="n">
        <x:f>IF(ROW()-4&lt;DATE('00_Eingabe'!$B$7+1,1,1)-DATE('00_Eingabe'!$B$7,1,1),DATE('00_Eingabe'!$B$7,1,1)+ROW()-4,"")</x:f>
        <x:v>45912</x:v>
      </x:c>
      <x:c r="B258" s="122" t="str">
        <x:f>IF(A258="","",IF(OR(AND(MONTH(A258)=12,DAY(A258)&gt;=20),AND(MONTH(A258)=1,DAY(A258)&lt;=2)),"Weihnachten",IF(OR(AND(MONTH(A258)=11,DAY(A258)&gt;=24),AND(MONTH(A258)=12,DAY(A258)&lt;=7)),"Betriebsferien",IF(OR(AND(MONTH(A258)=1,DAY(A258)&gt;=3),MONTH(A258)=2,MONTH(A258)=3,MONTH(A258)=4,MONTH(A258)=10,MONTH(A258)=11,AND(MONTH(A258)=12,DAY(A258)&lt;=15)),"Nebensaison","Hauptsaison"))))</x:f>
        <x:v>Hauptsaison</x:v>
      </x:c>
      <x:c r="C258" s="122" t="str">
        <x:f>IF(A258="","",IF(WEEKDAY(A258,2)&gt;=6,"Wochenende","Unterwoche"))</x:f>
        <x:v>Unterwoche</x:v>
      </x:c>
      <x:c r="D258" s="123" t="n">
        <x:f>IF(A258="","",IF(N258&lt;&gt;"",N258,IF(B258="Nebensaison",IF(C258="Wochenende",'00_Eingabe'!$C$24,'00_Eingabe'!$B$24),IF(B258="Hauptsaison",IF(C258="Wochenende",'00_Eingabe'!$C$25,'00_Eingabe'!$B$25),IF(B258="Weihnachten",IF(C258="Wochenende",'00_Eingabe'!$C$26,'00_Eingabe'!$B$26),IF(C258="Wochenende",'00_Eingabe'!$C$27,'00_Eingabe'!$B$27))))))</x:f>
        <x:v>0.85</x:v>
      </x:c>
      <x:c r="E258" s="122" t="n">
        <x:f>IF(OR(A258="",D258=""),"",ROUND('00_Eingabe'!$B$8*D258,0))</x:f>
        <x:v>30</x:v>
      </x:c>
      <x:c r="F258" s="122" t="n">
        <x:f>IF(E258="","",ROUND(E258*'00_Eingabe'!$B$18,0))</x:f>
        <x:v>57</x:v>
      </x:c>
      <x:c r="G258" s="123" t="n">
        <x:f>IF(A258="","",IF(O258&lt;&gt;"",O258,IF(B258="Nebensaison",IF(C258="Wochenende",'00_Eingabe'!$E$24,'00_Eingabe'!$D$24),IF(B258="Hauptsaison",IF(C258="Wochenende",'00_Eingabe'!$E$25,'00_Eingabe'!$D$25),IF(B258="Weihnachten",IF(C258="Wochenende",'00_Eingabe'!$E$26,'00_Eingabe'!$D$26),IF(C258="Wochenende",'00_Eingabe'!$E$27,'00_Eingabe'!$D$27))))))</x:f>
        <x:v>0.85</x:v>
      </x:c>
      <x:c r="H258" s="122" t="n">
        <x:f>IF(OR(A258="",G258=""),"",ROUND('00_Eingabe'!$B$9*G258,0))</x:f>
        <x:v>3</x:v>
      </x:c>
      <x:c r="I258" s="122" t="n">
        <x:f>IF(H258="","",ROUND(H258*'00_Eingabe'!$B$19,0))</x:f>
        <x:v>7</x:v>
      </x:c>
      <x:c r="J258" s="122" t="n">
        <x:f>IF(OR(F258="",I258=""),"",F258+I258)</x:f>
        <x:v>64</x:v>
      </x:c>
      <x:c r="K258" s="122" t="n">
        <x:f>IF(J258="","",ROUND(J258*'00_Eingabe'!$B$16*(1+'00_Eingabe'!$B$14),0))</x:f>
        <x:v>74</x:v>
      </x:c>
      <x:c r="L258" s="122" t="n">
        <x:f>IF(B258="Betriebsferien",0,ROUND(J258*'00_Eingabe'!$B$40,0)+IF(C258="Wochenende",'00_Eingabe'!$B$42,'00_Eingabe'!$B$41))</x:f>
        <x:v>63</x:v>
      </x:c>
      <x:c r="M258" s="123" t="n">
        <x:f>IF(J258="","",ROUND(J258*'00_Eingabe'!$B$17*(1+'00_Eingabe'!$B$15),0))</x:f>
        <x:v>74</x:v>
      </x:c>
      <x:c r="N258" s="106"/>
      <x:c r="O258" s="106"/>
      <x:c r="P258" s="116"/>
      <x:c r="Q258" s="213" t="n">
        <x:f>IF(C258="Wochenende",1,0)</x:f>
        <x:v>0</x:v>
      </x:c>
      <x:c r="R258" s="213" t="n">
        <x:f>IF(AND(B258&lt;&gt;"Betriebsferien",OR(WEEKDAY(A258,2)=2,WEEKDAY(A258,2)=4)),1,0)</x:f>
        <x:v>0</x:v>
      </x:c>
      <x:c r="S258" s="214" t="n">
        <x:f>R258*MIN(1,'00_Eingabe'!$B$62/'00_Eingabe'!$B$61)</x:f>
        <x:v>0</x:v>
      </x:c>
      <x:c r="T258" s="213" t="n">
        <x:f>IF(B258="Betriebsferien",0,IF(B258="Nebensaison",IF(OR(WEEKDAY(A258,2)=1,WEEKDAY(A258,2)=3,WEEKDAY(A258,2)=5),1,0),IF(C258="Unterwoche",1,0)))</x:f>
        <x:v>1</x:v>
      </x:c>
      <x:c r="U258" s="213" t="n">
        <x:f>IF(B258="Betriebsferien",0,'00_Eingabe'!$G$24)</x:f>
        <x:v>8</x:v>
      </x:c>
    </x:row>
    <x:row r="259">
      <x:c r="A259" s="121" t="n">
        <x:f>IF(ROW()-4&lt;DATE('00_Eingabe'!$B$7+1,1,1)-DATE('00_Eingabe'!$B$7,1,1),DATE('00_Eingabe'!$B$7,1,1)+ROW()-4,"")</x:f>
        <x:v>45913</x:v>
      </x:c>
      <x:c r="B259" s="122" t="str">
        <x:f>IF(A259="","",IF(OR(AND(MONTH(A259)=12,DAY(A259)&gt;=20),AND(MONTH(A259)=1,DAY(A259)&lt;=2)),"Weihnachten",IF(OR(AND(MONTH(A259)=11,DAY(A259)&gt;=24),AND(MONTH(A259)=12,DAY(A259)&lt;=7)),"Betriebsferien",IF(OR(AND(MONTH(A259)=1,DAY(A259)&gt;=3),MONTH(A259)=2,MONTH(A259)=3,MONTH(A259)=4,MONTH(A259)=10,MONTH(A259)=11,AND(MONTH(A259)=12,DAY(A259)&lt;=15)),"Nebensaison","Hauptsaison"))))</x:f>
        <x:v>Hauptsaison</x:v>
      </x:c>
      <x:c r="C259" s="122" t="str">
        <x:f>IF(A259="","",IF(WEEKDAY(A259,2)&gt;=6,"Wochenende","Unterwoche"))</x:f>
        <x:v>Wochenende</x:v>
      </x:c>
      <x:c r="D259" s="123" t="n">
        <x:f>IF(A259="","",IF(N259&lt;&gt;"",N259,IF(B259="Nebensaison",IF(C259="Wochenende",'00_Eingabe'!$C$24,'00_Eingabe'!$B$24),IF(B259="Hauptsaison",IF(C259="Wochenende",'00_Eingabe'!$C$25,'00_Eingabe'!$B$25),IF(B259="Weihnachten",IF(C259="Wochenende",'00_Eingabe'!$C$26,'00_Eingabe'!$B$26),IF(C259="Wochenende",'00_Eingabe'!$C$27,'00_Eingabe'!$B$27))))))</x:f>
        <x:v>0.9</x:v>
      </x:c>
      <x:c r="E259" s="122" t="n">
        <x:f>IF(OR(A259="",D259=""),"",ROUND('00_Eingabe'!$B$8*D259,0))</x:f>
        <x:v>32</x:v>
      </x:c>
      <x:c r="F259" s="122" t="n">
        <x:f>IF(E259="","",ROUND(E259*'00_Eingabe'!$B$18,0))</x:f>
        <x:v>61</x:v>
      </x:c>
      <x:c r="G259" s="123" t="n">
        <x:f>IF(A259="","",IF(O259&lt;&gt;"",O259,IF(B259="Nebensaison",IF(C259="Wochenende",'00_Eingabe'!$E$24,'00_Eingabe'!$D$24),IF(B259="Hauptsaison",IF(C259="Wochenende",'00_Eingabe'!$E$25,'00_Eingabe'!$D$25),IF(B259="Weihnachten",IF(C259="Wochenende",'00_Eingabe'!$E$26,'00_Eingabe'!$D$26),IF(C259="Wochenende",'00_Eingabe'!$E$27,'00_Eingabe'!$D$27))))))</x:f>
        <x:v>0.9</x:v>
      </x:c>
      <x:c r="H259" s="122" t="n">
        <x:f>IF(OR(A259="",G259=""),"",ROUND('00_Eingabe'!$B$9*G259,0))</x:f>
        <x:v>4</x:v>
      </x:c>
      <x:c r="I259" s="122" t="n">
        <x:f>IF(H259="","",ROUND(H259*'00_Eingabe'!$B$19,0))</x:f>
        <x:v>9</x:v>
      </x:c>
      <x:c r="J259" s="122" t="n">
        <x:f>IF(OR(F259="",I259=""),"",F259+I259)</x:f>
        <x:v>70</x:v>
      </x:c>
      <x:c r="K259" s="122" t="n">
        <x:f>IF(J259="","",ROUND(J259*'00_Eingabe'!$B$16*(1+'00_Eingabe'!$B$14),0))</x:f>
        <x:v>81</x:v>
      </x:c>
      <x:c r="L259" s="122" t="n">
        <x:f>IF(B259="Betriebsferien",0,ROUND(J259*'00_Eingabe'!$B$40,0)+IF(C259="Wochenende",'00_Eingabe'!$B$42,'00_Eingabe'!$B$41))</x:f>
        <x:v>93</x:v>
      </x:c>
      <x:c r="M259" s="123" t="n">
        <x:f>IF(J259="","",ROUND(J259*'00_Eingabe'!$B$17*(1+'00_Eingabe'!$B$15),0))</x:f>
        <x:v>81</x:v>
      </x:c>
      <x:c r="N259" s="106"/>
      <x:c r="O259" s="106"/>
      <x:c r="P259" s="116"/>
      <x:c r="Q259" s="213" t="n">
        <x:f>IF(C259="Wochenende",1,0)</x:f>
        <x:v>1</x:v>
      </x:c>
      <x:c r="R259" s="213" t="n">
        <x:f>IF(AND(B259&lt;&gt;"Betriebsferien",OR(WEEKDAY(A259,2)=2,WEEKDAY(A259,2)=4)),1,0)</x:f>
        <x:v>0</x:v>
      </x:c>
      <x:c r="S259" s="214" t="n">
        <x:f>R259*MIN(1,'00_Eingabe'!$B$62/'00_Eingabe'!$B$61)</x:f>
        <x:v>0</x:v>
      </x:c>
      <x:c r="T259" s="213" t="n">
        <x:f>IF(B259="Betriebsferien",0,IF(B259="Nebensaison",IF(OR(WEEKDAY(A259,2)=1,WEEKDAY(A259,2)=3,WEEKDAY(A259,2)=5),1,0),IF(C259="Unterwoche",1,0)))</x:f>
        <x:v>0</x:v>
      </x:c>
      <x:c r="U259" s="213" t="n">
        <x:f>IF(B259="Betriebsferien",0,'00_Eingabe'!$G$24)</x:f>
        <x:v>8</x:v>
      </x:c>
    </x:row>
    <x:row r="260">
      <x:c r="A260" s="121" t="n">
        <x:f>IF(ROW()-4&lt;DATE('00_Eingabe'!$B$7+1,1,1)-DATE('00_Eingabe'!$B$7,1,1),DATE('00_Eingabe'!$B$7,1,1)+ROW()-4,"")</x:f>
        <x:v>45914</x:v>
      </x:c>
      <x:c r="B260" s="122" t="str">
        <x:f>IF(A260="","",IF(OR(AND(MONTH(A260)=12,DAY(A260)&gt;=20),AND(MONTH(A260)=1,DAY(A260)&lt;=2)),"Weihnachten",IF(OR(AND(MONTH(A260)=11,DAY(A260)&gt;=24),AND(MONTH(A260)=12,DAY(A260)&lt;=7)),"Betriebsferien",IF(OR(AND(MONTH(A260)=1,DAY(A260)&gt;=3),MONTH(A260)=2,MONTH(A260)=3,MONTH(A260)=4,MONTH(A260)=10,MONTH(A260)=11,AND(MONTH(A260)=12,DAY(A260)&lt;=15)),"Nebensaison","Hauptsaison"))))</x:f>
        <x:v>Hauptsaison</x:v>
      </x:c>
      <x:c r="C260" s="122" t="str">
        <x:f>IF(A260="","",IF(WEEKDAY(A260,2)&gt;=6,"Wochenende","Unterwoche"))</x:f>
        <x:v>Wochenende</x:v>
      </x:c>
      <x:c r="D260" s="123" t="n">
        <x:f>IF(A260="","",IF(N260&lt;&gt;"",N260,IF(B260="Nebensaison",IF(C260="Wochenende",'00_Eingabe'!$C$24,'00_Eingabe'!$B$24),IF(B260="Hauptsaison",IF(C260="Wochenende",'00_Eingabe'!$C$25,'00_Eingabe'!$B$25),IF(B260="Weihnachten",IF(C260="Wochenende",'00_Eingabe'!$C$26,'00_Eingabe'!$B$26),IF(C260="Wochenende",'00_Eingabe'!$C$27,'00_Eingabe'!$B$27))))))</x:f>
        <x:v>0.9</x:v>
      </x:c>
      <x:c r="E260" s="122" t="n">
        <x:f>IF(OR(A260="",D260=""),"",ROUND('00_Eingabe'!$B$8*D260,0))</x:f>
        <x:v>32</x:v>
      </x:c>
      <x:c r="F260" s="122" t="n">
        <x:f>IF(E260="","",ROUND(E260*'00_Eingabe'!$B$18,0))</x:f>
        <x:v>61</x:v>
      </x:c>
      <x:c r="G260" s="123" t="n">
        <x:f>IF(A260="","",IF(O260&lt;&gt;"",O260,IF(B260="Nebensaison",IF(C260="Wochenende",'00_Eingabe'!$E$24,'00_Eingabe'!$D$24),IF(B260="Hauptsaison",IF(C260="Wochenende",'00_Eingabe'!$E$25,'00_Eingabe'!$D$25),IF(B260="Weihnachten",IF(C260="Wochenende",'00_Eingabe'!$E$26,'00_Eingabe'!$D$26),IF(C260="Wochenende",'00_Eingabe'!$E$27,'00_Eingabe'!$D$27))))))</x:f>
        <x:v>0.9</x:v>
      </x:c>
      <x:c r="H260" s="122" t="n">
        <x:f>IF(OR(A260="",G260=""),"",ROUND('00_Eingabe'!$B$9*G260,0))</x:f>
        <x:v>4</x:v>
      </x:c>
      <x:c r="I260" s="122" t="n">
        <x:f>IF(H260="","",ROUND(H260*'00_Eingabe'!$B$19,0))</x:f>
        <x:v>9</x:v>
      </x:c>
      <x:c r="J260" s="122" t="n">
        <x:f>IF(OR(F260="",I260=""),"",F260+I260)</x:f>
        <x:v>70</x:v>
      </x:c>
      <x:c r="K260" s="122" t="n">
        <x:f>IF(J260="","",ROUND(J260*'00_Eingabe'!$B$16*(1+'00_Eingabe'!$B$14),0))</x:f>
        <x:v>81</x:v>
      </x:c>
      <x:c r="L260" s="122" t="n">
        <x:f>IF(B260="Betriebsferien",0,ROUND(J260*'00_Eingabe'!$B$40,0)+IF(C260="Wochenende",'00_Eingabe'!$B$42,'00_Eingabe'!$B$41))</x:f>
        <x:v>93</x:v>
      </x:c>
      <x:c r="M260" s="123" t="n">
        <x:f>IF(J260="","",ROUND(J260*'00_Eingabe'!$B$17*(1+'00_Eingabe'!$B$15),0))</x:f>
        <x:v>81</x:v>
      </x:c>
      <x:c r="N260" s="106"/>
      <x:c r="O260" s="106"/>
      <x:c r="P260" s="116"/>
      <x:c r="Q260" s="213" t="n">
        <x:f>IF(C260="Wochenende",1,0)</x:f>
        <x:v>1</x:v>
      </x:c>
      <x:c r="R260" s="213" t="n">
        <x:f>IF(AND(B260&lt;&gt;"Betriebsferien",OR(WEEKDAY(A260,2)=2,WEEKDAY(A260,2)=4)),1,0)</x:f>
        <x:v>0</x:v>
      </x:c>
      <x:c r="S260" s="214" t="n">
        <x:f>R260*MIN(1,'00_Eingabe'!$B$62/'00_Eingabe'!$B$61)</x:f>
        <x:v>0</x:v>
      </x:c>
      <x:c r="T260" s="213" t="n">
        <x:f>IF(B260="Betriebsferien",0,IF(B260="Nebensaison",IF(OR(WEEKDAY(A260,2)=1,WEEKDAY(A260,2)=3,WEEKDAY(A260,2)=5),1,0),IF(C260="Unterwoche",1,0)))</x:f>
        <x:v>0</x:v>
      </x:c>
      <x:c r="U260" s="213" t="n">
        <x:f>IF(B260="Betriebsferien",0,'00_Eingabe'!$G$24)</x:f>
        <x:v>8</x:v>
      </x:c>
    </x:row>
    <x:row r="261">
      <x:c r="A261" s="121" t="n">
        <x:f>IF(ROW()-4&lt;DATE('00_Eingabe'!$B$7+1,1,1)-DATE('00_Eingabe'!$B$7,1,1),DATE('00_Eingabe'!$B$7,1,1)+ROW()-4,"")</x:f>
        <x:v>45915</x:v>
      </x:c>
      <x:c r="B261" s="122" t="str">
        <x:f>IF(A261="","",IF(OR(AND(MONTH(A261)=12,DAY(A261)&gt;=20),AND(MONTH(A261)=1,DAY(A261)&lt;=2)),"Weihnachten",IF(OR(AND(MONTH(A261)=11,DAY(A261)&gt;=24),AND(MONTH(A261)=12,DAY(A261)&lt;=7)),"Betriebsferien",IF(OR(AND(MONTH(A261)=1,DAY(A261)&gt;=3),MONTH(A261)=2,MONTH(A261)=3,MONTH(A261)=4,MONTH(A261)=10,MONTH(A261)=11,AND(MONTH(A261)=12,DAY(A261)&lt;=15)),"Nebensaison","Hauptsaison"))))</x:f>
        <x:v>Hauptsaison</x:v>
      </x:c>
      <x:c r="C261" s="122" t="str">
        <x:f>IF(A261="","",IF(WEEKDAY(A261,2)&gt;=6,"Wochenende","Unterwoche"))</x:f>
        <x:v>Unterwoche</x:v>
      </x:c>
      <x:c r="D261" s="123" t="n">
        <x:f>IF(A261="","",IF(N261&lt;&gt;"",N261,IF(B261="Nebensaison",IF(C261="Wochenende",'00_Eingabe'!$C$24,'00_Eingabe'!$B$24),IF(B261="Hauptsaison",IF(C261="Wochenende",'00_Eingabe'!$C$25,'00_Eingabe'!$B$25),IF(B261="Weihnachten",IF(C261="Wochenende",'00_Eingabe'!$C$26,'00_Eingabe'!$B$26),IF(C261="Wochenende",'00_Eingabe'!$C$27,'00_Eingabe'!$B$27))))))</x:f>
        <x:v>0.85</x:v>
      </x:c>
      <x:c r="E261" s="122" t="n">
        <x:f>IF(OR(A261="",D261=""),"",ROUND('00_Eingabe'!$B$8*D261,0))</x:f>
        <x:v>30</x:v>
      </x:c>
      <x:c r="F261" s="122" t="n">
        <x:f>IF(E261="","",ROUND(E261*'00_Eingabe'!$B$18,0))</x:f>
        <x:v>57</x:v>
      </x:c>
      <x:c r="G261" s="123" t="n">
        <x:f>IF(A261="","",IF(O261&lt;&gt;"",O261,IF(B261="Nebensaison",IF(C261="Wochenende",'00_Eingabe'!$E$24,'00_Eingabe'!$D$24),IF(B261="Hauptsaison",IF(C261="Wochenende",'00_Eingabe'!$E$25,'00_Eingabe'!$D$25),IF(B261="Weihnachten",IF(C261="Wochenende",'00_Eingabe'!$E$26,'00_Eingabe'!$D$26),IF(C261="Wochenende",'00_Eingabe'!$E$27,'00_Eingabe'!$D$27))))))</x:f>
        <x:v>0.85</x:v>
      </x:c>
      <x:c r="H261" s="122" t="n">
        <x:f>IF(OR(A261="",G261=""),"",ROUND('00_Eingabe'!$B$9*G261,0))</x:f>
        <x:v>3</x:v>
      </x:c>
      <x:c r="I261" s="122" t="n">
        <x:f>IF(H261="","",ROUND(H261*'00_Eingabe'!$B$19,0))</x:f>
        <x:v>7</x:v>
      </x:c>
      <x:c r="J261" s="122" t="n">
        <x:f>IF(OR(F261="",I261=""),"",F261+I261)</x:f>
        <x:v>64</x:v>
      </x:c>
      <x:c r="K261" s="122" t="n">
        <x:f>IF(J261="","",ROUND(J261*'00_Eingabe'!$B$16*(1+'00_Eingabe'!$B$14),0))</x:f>
        <x:v>74</x:v>
      </x:c>
      <x:c r="L261" s="122" t="n">
        <x:f>IF(B261="Betriebsferien",0,ROUND(J261*'00_Eingabe'!$B$40,0)+IF(C261="Wochenende",'00_Eingabe'!$B$42,'00_Eingabe'!$B$41))</x:f>
        <x:v>63</x:v>
      </x:c>
      <x:c r="M261" s="123" t="n">
        <x:f>IF(J261="","",ROUND(J261*'00_Eingabe'!$B$17*(1+'00_Eingabe'!$B$15),0))</x:f>
        <x:v>74</x:v>
      </x:c>
      <x:c r="N261" s="106"/>
      <x:c r="O261" s="106"/>
      <x:c r="P261" s="116"/>
      <x:c r="Q261" s="213" t="n">
        <x:f>IF(C261="Wochenende",1,0)</x:f>
        <x:v>0</x:v>
      </x:c>
      <x:c r="R261" s="213" t="n">
        <x:f>IF(AND(B261&lt;&gt;"Betriebsferien",OR(WEEKDAY(A261,2)=2,WEEKDAY(A261,2)=4)),1,0)</x:f>
        <x:v>0</x:v>
      </x:c>
      <x:c r="S261" s="214" t="n">
        <x:f>R261*MIN(1,'00_Eingabe'!$B$62/'00_Eingabe'!$B$61)</x:f>
        <x:v>0</x:v>
      </x:c>
      <x:c r="T261" s="213" t="n">
        <x:f>IF(B261="Betriebsferien",0,IF(B261="Nebensaison",IF(OR(WEEKDAY(A261,2)=1,WEEKDAY(A261,2)=3,WEEKDAY(A261,2)=5),1,0),IF(C261="Unterwoche",1,0)))</x:f>
        <x:v>1</x:v>
      </x:c>
      <x:c r="U261" s="213" t="n">
        <x:f>IF(B261="Betriebsferien",0,'00_Eingabe'!$G$24)</x:f>
        <x:v>8</x:v>
      </x:c>
    </x:row>
    <x:row r="262">
      <x:c r="A262" s="121" t="n">
        <x:f>IF(ROW()-4&lt;DATE('00_Eingabe'!$B$7+1,1,1)-DATE('00_Eingabe'!$B$7,1,1),DATE('00_Eingabe'!$B$7,1,1)+ROW()-4,"")</x:f>
        <x:v>45916</x:v>
      </x:c>
      <x:c r="B262" s="122" t="str">
        <x:f>IF(A262="","",IF(OR(AND(MONTH(A262)=12,DAY(A262)&gt;=20),AND(MONTH(A262)=1,DAY(A262)&lt;=2)),"Weihnachten",IF(OR(AND(MONTH(A262)=11,DAY(A262)&gt;=24),AND(MONTH(A262)=12,DAY(A262)&lt;=7)),"Betriebsferien",IF(OR(AND(MONTH(A262)=1,DAY(A262)&gt;=3),MONTH(A262)=2,MONTH(A262)=3,MONTH(A262)=4,MONTH(A262)=10,MONTH(A262)=11,AND(MONTH(A262)=12,DAY(A262)&lt;=15)),"Nebensaison","Hauptsaison"))))</x:f>
        <x:v>Hauptsaison</x:v>
      </x:c>
      <x:c r="C262" s="122" t="str">
        <x:f>IF(A262="","",IF(WEEKDAY(A262,2)&gt;=6,"Wochenende","Unterwoche"))</x:f>
        <x:v>Unterwoche</x:v>
      </x:c>
      <x:c r="D262" s="123" t="n">
        <x:f>IF(A262="","",IF(N262&lt;&gt;"",N262,IF(B262="Nebensaison",IF(C262="Wochenende",'00_Eingabe'!$C$24,'00_Eingabe'!$B$24),IF(B262="Hauptsaison",IF(C262="Wochenende",'00_Eingabe'!$C$25,'00_Eingabe'!$B$25),IF(B262="Weihnachten",IF(C262="Wochenende",'00_Eingabe'!$C$26,'00_Eingabe'!$B$26),IF(C262="Wochenende",'00_Eingabe'!$C$27,'00_Eingabe'!$B$27))))))</x:f>
        <x:v>0.85</x:v>
      </x:c>
      <x:c r="E262" s="122" t="n">
        <x:f>IF(OR(A262="",D262=""),"",ROUND('00_Eingabe'!$B$8*D262,0))</x:f>
        <x:v>30</x:v>
      </x:c>
      <x:c r="F262" s="122" t="n">
        <x:f>IF(E262="","",ROUND(E262*'00_Eingabe'!$B$18,0))</x:f>
        <x:v>57</x:v>
      </x:c>
      <x:c r="G262" s="123" t="n">
        <x:f>IF(A262="","",IF(O262&lt;&gt;"",O262,IF(B262="Nebensaison",IF(C262="Wochenende",'00_Eingabe'!$E$24,'00_Eingabe'!$D$24),IF(B262="Hauptsaison",IF(C262="Wochenende",'00_Eingabe'!$E$25,'00_Eingabe'!$D$25),IF(B262="Weihnachten",IF(C262="Wochenende",'00_Eingabe'!$E$26,'00_Eingabe'!$D$26),IF(C262="Wochenende",'00_Eingabe'!$E$27,'00_Eingabe'!$D$27))))))</x:f>
        <x:v>0.85</x:v>
      </x:c>
      <x:c r="H262" s="122" t="n">
        <x:f>IF(OR(A262="",G262=""),"",ROUND('00_Eingabe'!$B$9*G262,0))</x:f>
        <x:v>3</x:v>
      </x:c>
      <x:c r="I262" s="122" t="n">
        <x:f>IF(H262="","",ROUND(H262*'00_Eingabe'!$B$19,0))</x:f>
        <x:v>7</x:v>
      </x:c>
      <x:c r="J262" s="122" t="n">
        <x:f>IF(OR(F262="",I262=""),"",F262+I262)</x:f>
        <x:v>64</x:v>
      </x:c>
      <x:c r="K262" s="122" t="n">
        <x:f>IF(J262="","",ROUND(J262*'00_Eingabe'!$B$16*(1+'00_Eingabe'!$B$14),0))</x:f>
        <x:v>74</x:v>
      </x:c>
      <x:c r="L262" s="122" t="n">
        <x:f>IF(B262="Betriebsferien",0,ROUND(J262*'00_Eingabe'!$B$40,0)+IF(C262="Wochenende",'00_Eingabe'!$B$42,'00_Eingabe'!$B$41))</x:f>
        <x:v>63</x:v>
      </x:c>
      <x:c r="M262" s="123" t="n">
        <x:f>IF(J262="","",ROUND(J262*'00_Eingabe'!$B$17*(1+'00_Eingabe'!$B$15),0))</x:f>
        <x:v>74</x:v>
      </x:c>
      <x:c r="N262" s="106"/>
      <x:c r="O262" s="106"/>
      <x:c r="P262" s="116"/>
      <x:c r="Q262" s="213" t="n">
        <x:f>IF(C262="Wochenende",1,0)</x:f>
        <x:v>0</x:v>
      </x:c>
      <x:c r="R262" s="213" t="n">
        <x:f>IF(AND(B262&lt;&gt;"Betriebsferien",OR(WEEKDAY(A262,2)=2,WEEKDAY(A262,2)=4)),1,0)</x:f>
        <x:v>1</x:v>
      </x:c>
      <x:c r="S262" s="214" t="n">
        <x:f>R262*MIN(1,'00_Eingabe'!$B$62/'00_Eingabe'!$B$61)</x:f>
        <x:v>0.5</x:v>
      </x:c>
      <x:c r="T262" s="213" t="n">
        <x:f>IF(B262="Betriebsferien",0,IF(B262="Nebensaison",IF(OR(WEEKDAY(A262,2)=1,WEEKDAY(A262,2)=3,WEEKDAY(A262,2)=5),1,0),IF(C262="Unterwoche",1,0)))</x:f>
        <x:v>1</x:v>
      </x:c>
      <x:c r="U262" s="213" t="n">
        <x:f>IF(B262="Betriebsferien",0,'00_Eingabe'!$G$24)</x:f>
        <x:v>8</x:v>
      </x:c>
    </x:row>
    <x:row r="263">
      <x:c r="A263" s="121" t="n">
        <x:f>IF(ROW()-4&lt;DATE('00_Eingabe'!$B$7+1,1,1)-DATE('00_Eingabe'!$B$7,1,1),DATE('00_Eingabe'!$B$7,1,1)+ROW()-4,"")</x:f>
        <x:v>45917</x:v>
      </x:c>
      <x:c r="B263" s="122" t="str">
        <x:f>IF(A263="","",IF(OR(AND(MONTH(A263)=12,DAY(A263)&gt;=20),AND(MONTH(A263)=1,DAY(A263)&lt;=2)),"Weihnachten",IF(OR(AND(MONTH(A263)=11,DAY(A263)&gt;=24),AND(MONTH(A263)=12,DAY(A263)&lt;=7)),"Betriebsferien",IF(OR(AND(MONTH(A263)=1,DAY(A263)&gt;=3),MONTH(A263)=2,MONTH(A263)=3,MONTH(A263)=4,MONTH(A263)=10,MONTH(A263)=11,AND(MONTH(A263)=12,DAY(A263)&lt;=15)),"Nebensaison","Hauptsaison"))))</x:f>
        <x:v>Hauptsaison</x:v>
      </x:c>
      <x:c r="C263" s="122" t="str">
        <x:f>IF(A263="","",IF(WEEKDAY(A263,2)&gt;=6,"Wochenende","Unterwoche"))</x:f>
        <x:v>Unterwoche</x:v>
      </x:c>
      <x:c r="D263" s="123" t="n">
        <x:f>IF(A263="","",IF(N263&lt;&gt;"",N263,IF(B263="Nebensaison",IF(C263="Wochenende",'00_Eingabe'!$C$24,'00_Eingabe'!$B$24),IF(B263="Hauptsaison",IF(C263="Wochenende",'00_Eingabe'!$C$25,'00_Eingabe'!$B$25),IF(B263="Weihnachten",IF(C263="Wochenende",'00_Eingabe'!$C$26,'00_Eingabe'!$B$26),IF(C263="Wochenende",'00_Eingabe'!$C$27,'00_Eingabe'!$B$27))))))</x:f>
        <x:v>0.85</x:v>
      </x:c>
      <x:c r="E263" s="122" t="n">
        <x:f>IF(OR(A263="",D263=""),"",ROUND('00_Eingabe'!$B$8*D263,0))</x:f>
        <x:v>30</x:v>
      </x:c>
      <x:c r="F263" s="122" t="n">
        <x:f>IF(E263="","",ROUND(E263*'00_Eingabe'!$B$18,0))</x:f>
        <x:v>57</x:v>
      </x:c>
      <x:c r="G263" s="123" t="n">
        <x:f>IF(A263="","",IF(O263&lt;&gt;"",O263,IF(B263="Nebensaison",IF(C263="Wochenende",'00_Eingabe'!$E$24,'00_Eingabe'!$D$24),IF(B263="Hauptsaison",IF(C263="Wochenende",'00_Eingabe'!$E$25,'00_Eingabe'!$D$25),IF(B263="Weihnachten",IF(C263="Wochenende",'00_Eingabe'!$E$26,'00_Eingabe'!$D$26),IF(C263="Wochenende",'00_Eingabe'!$E$27,'00_Eingabe'!$D$27))))))</x:f>
        <x:v>0.85</x:v>
      </x:c>
      <x:c r="H263" s="122" t="n">
        <x:f>IF(OR(A263="",G263=""),"",ROUND('00_Eingabe'!$B$9*G263,0))</x:f>
        <x:v>3</x:v>
      </x:c>
      <x:c r="I263" s="122" t="n">
        <x:f>IF(H263="","",ROUND(H263*'00_Eingabe'!$B$19,0))</x:f>
        <x:v>7</x:v>
      </x:c>
      <x:c r="J263" s="122" t="n">
        <x:f>IF(OR(F263="",I263=""),"",F263+I263)</x:f>
        <x:v>64</x:v>
      </x:c>
      <x:c r="K263" s="122" t="n">
        <x:f>IF(J263="","",ROUND(J263*'00_Eingabe'!$B$16*(1+'00_Eingabe'!$B$14),0))</x:f>
        <x:v>74</x:v>
      </x:c>
      <x:c r="L263" s="122" t="n">
        <x:f>IF(B263="Betriebsferien",0,ROUND(J263*'00_Eingabe'!$B$40,0)+IF(C263="Wochenende",'00_Eingabe'!$B$42,'00_Eingabe'!$B$41))</x:f>
        <x:v>63</x:v>
      </x:c>
      <x:c r="M263" s="123" t="n">
        <x:f>IF(J263="","",ROUND(J263*'00_Eingabe'!$B$17*(1+'00_Eingabe'!$B$15),0))</x:f>
        <x:v>74</x:v>
      </x:c>
      <x:c r="N263" s="106"/>
      <x:c r="O263" s="106"/>
      <x:c r="P263" s="116"/>
      <x:c r="Q263" s="213" t="n">
        <x:f>IF(C263="Wochenende",1,0)</x:f>
        <x:v>0</x:v>
      </x:c>
      <x:c r="R263" s="213" t="n">
        <x:f>IF(AND(B263&lt;&gt;"Betriebsferien",OR(WEEKDAY(A263,2)=2,WEEKDAY(A263,2)=4)),1,0)</x:f>
        <x:v>0</x:v>
      </x:c>
      <x:c r="S263" s="214" t="n">
        <x:f>R263*MIN(1,'00_Eingabe'!$B$62/'00_Eingabe'!$B$61)</x:f>
        <x:v>0</x:v>
      </x:c>
      <x:c r="T263" s="213" t="n">
        <x:f>IF(B263="Betriebsferien",0,IF(B263="Nebensaison",IF(OR(WEEKDAY(A263,2)=1,WEEKDAY(A263,2)=3,WEEKDAY(A263,2)=5),1,0),IF(C263="Unterwoche",1,0)))</x:f>
        <x:v>1</x:v>
      </x:c>
      <x:c r="U263" s="213" t="n">
        <x:f>IF(B263="Betriebsferien",0,'00_Eingabe'!$G$24)</x:f>
        <x:v>8</x:v>
      </x:c>
    </x:row>
    <x:row r="264">
      <x:c r="A264" s="121" t="n">
        <x:f>IF(ROW()-4&lt;DATE('00_Eingabe'!$B$7+1,1,1)-DATE('00_Eingabe'!$B$7,1,1),DATE('00_Eingabe'!$B$7,1,1)+ROW()-4,"")</x:f>
        <x:v>45918</x:v>
      </x:c>
      <x:c r="B264" s="122" t="str">
        <x:f>IF(A264="","",IF(OR(AND(MONTH(A264)=12,DAY(A264)&gt;=20),AND(MONTH(A264)=1,DAY(A264)&lt;=2)),"Weihnachten",IF(OR(AND(MONTH(A264)=11,DAY(A264)&gt;=24),AND(MONTH(A264)=12,DAY(A264)&lt;=7)),"Betriebsferien",IF(OR(AND(MONTH(A264)=1,DAY(A264)&gt;=3),MONTH(A264)=2,MONTH(A264)=3,MONTH(A264)=4,MONTH(A264)=10,MONTH(A264)=11,AND(MONTH(A264)=12,DAY(A264)&lt;=15)),"Nebensaison","Hauptsaison"))))</x:f>
        <x:v>Hauptsaison</x:v>
      </x:c>
      <x:c r="C264" s="122" t="str">
        <x:f>IF(A264="","",IF(WEEKDAY(A264,2)&gt;=6,"Wochenende","Unterwoche"))</x:f>
        <x:v>Unterwoche</x:v>
      </x:c>
      <x:c r="D264" s="123" t="n">
        <x:f>IF(A264="","",IF(N264&lt;&gt;"",N264,IF(B264="Nebensaison",IF(C264="Wochenende",'00_Eingabe'!$C$24,'00_Eingabe'!$B$24),IF(B264="Hauptsaison",IF(C264="Wochenende",'00_Eingabe'!$C$25,'00_Eingabe'!$B$25),IF(B264="Weihnachten",IF(C264="Wochenende",'00_Eingabe'!$C$26,'00_Eingabe'!$B$26),IF(C264="Wochenende",'00_Eingabe'!$C$27,'00_Eingabe'!$B$27))))))</x:f>
        <x:v>0.85</x:v>
      </x:c>
      <x:c r="E264" s="122" t="n">
        <x:f>IF(OR(A264="",D264=""),"",ROUND('00_Eingabe'!$B$8*D264,0))</x:f>
        <x:v>30</x:v>
      </x:c>
      <x:c r="F264" s="122" t="n">
        <x:f>IF(E264="","",ROUND(E264*'00_Eingabe'!$B$18,0))</x:f>
        <x:v>57</x:v>
      </x:c>
      <x:c r="G264" s="123" t="n">
        <x:f>IF(A264="","",IF(O264&lt;&gt;"",O264,IF(B264="Nebensaison",IF(C264="Wochenende",'00_Eingabe'!$E$24,'00_Eingabe'!$D$24),IF(B264="Hauptsaison",IF(C264="Wochenende",'00_Eingabe'!$E$25,'00_Eingabe'!$D$25),IF(B264="Weihnachten",IF(C264="Wochenende",'00_Eingabe'!$E$26,'00_Eingabe'!$D$26),IF(C264="Wochenende",'00_Eingabe'!$E$27,'00_Eingabe'!$D$27))))))</x:f>
        <x:v>0.85</x:v>
      </x:c>
      <x:c r="H264" s="122" t="n">
        <x:f>IF(OR(A264="",G264=""),"",ROUND('00_Eingabe'!$B$9*G264,0))</x:f>
        <x:v>3</x:v>
      </x:c>
      <x:c r="I264" s="122" t="n">
        <x:f>IF(H264="","",ROUND(H264*'00_Eingabe'!$B$19,0))</x:f>
        <x:v>7</x:v>
      </x:c>
      <x:c r="J264" s="122" t="n">
        <x:f>IF(OR(F264="",I264=""),"",F264+I264)</x:f>
        <x:v>64</x:v>
      </x:c>
      <x:c r="K264" s="122" t="n">
        <x:f>IF(J264="","",ROUND(J264*'00_Eingabe'!$B$16*(1+'00_Eingabe'!$B$14),0))</x:f>
        <x:v>74</x:v>
      </x:c>
      <x:c r="L264" s="122" t="n">
        <x:f>IF(B264="Betriebsferien",0,ROUND(J264*'00_Eingabe'!$B$40,0)+IF(C264="Wochenende",'00_Eingabe'!$B$42,'00_Eingabe'!$B$41))</x:f>
        <x:v>63</x:v>
      </x:c>
      <x:c r="M264" s="123" t="n">
        <x:f>IF(J264="","",ROUND(J264*'00_Eingabe'!$B$17*(1+'00_Eingabe'!$B$15),0))</x:f>
        <x:v>74</x:v>
      </x:c>
      <x:c r="N264" s="106"/>
      <x:c r="O264" s="106"/>
      <x:c r="P264" s="116"/>
      <x:c r="Q264" s="213" t="n">
        <x:f>IF(C264="Wochenende",1,0)</x:f>
        <x:v>0</x:v>
      </x:c>
      <x:c r="R264" s="213" t="n">
        <x:f>IF(AND(B264&lt;&gt;"Betriebsferien",OR(WEEKDAY(A264,2)=2,WEEKDAY(A264,2)=4)),1,0)</x:f>
        <x:v>1</x:v>
      </x:c>
      <x:c r="S264" s="214" t="n">
        <x:f>R264*MIN(1,'00_Eingabe'!$B$62/'00_Eingabe'!$B$61)</x:f>
        <x:v>0.5</x:v>
      </x:c>
      <x:c r="T264" s="213" t="n">
        <x:f>IF(B264="Betriebsferien",0,IF(B264="Nebensaison",IF(OR(WEEKDAY(A264,2)=1,WEEKDAY(A264,2)=3,WEEKDAY(A264,2)=5),1,0),IF(C264="Unterwoche",1,0)))</x:f>
        <x:v>1</x:v>
      </x:c>
      <x:c r="U264" s="213" t="n">
        <x:f>IF(B264="Betriebsferien",0,'00_Eingabe'!$G$24)</x:f>
        <x:v>8</x:v>
      </x:c>
    </x:row>
    <x:row r="265">
      <x:c r="A265" s="121" t="n">
        <x:f>IF(ROW()-4&lt;DATE('00_Eingabe'!$B$7+1,1,1)-DATE('00_Eingabe'!$B$7,1,1),DATE('00_Eingabe'!$B$7,1,1)+ROW()-4,"")</x:f>
        <x:v>45919</x:v>
      </x:c>
      <x:c r="B265" s="122" t="str">
        <x:f>IF(A265="","",IF(OR(AND(MONTH(A265)=12,DAY(A265)&gt;=20),AND(MONTH(A265)=1,DAY(A265)&lt;=2)),"Weihnachten",IF(OR(AND(MONTH(A265)=11,DAY(A265)&gt;=24),AND(MONTH(A265)=12,DAY(A265)&lt;=7)),"Betriebsferien",IF(OR(AND(MONTH(A265)=1,DAY(A265)&gt;=3),MONTH(A265)=2,MONTH(A265)=3,MONTH(A265)=4,MONTH(A265)=10,MONTH(A265)=11,AND(MONTH(A265)=12,DAY(A265)&lt;=15)),"Nebensaison","Hauptsaison"))))</x:f>
        <x:v>Hauptsaison</x:v>
      </x:c>
      <x:c r="C265" s="122" t="str">
        <x:f>IF(A265="","",IF(WEEKDAY(A265,2)&gt;=6,"Wochenende","Unterwoche"))</x:f>
        <x:v>Unterwoche</x:v>
      </x:c>
      <x:c r="D265" s="123" t="n">
        <x:f>IF(A265="","",IF(N265&lt;&gt;"",N265,IF(B265="Nebensaison",IF(C265="Wochenende",'00_Eingabe'!$C$24,'00_Eingabe'!$B$24),IF(B265="Hauptsaison",IF(C265="Wochenende",'00_Eingabe'!$C$25,'00_Eingabe'!$B$25),IF(B265="Weihnachten",IF(C265="Wochenende",'00_Eingabe'!$C$26,'00_Eingabe'!$B$26),IF(C265="Wochenende",'00_Eingabe'!$C$27,'00_Eingabe'!$B$27))))))</x:f>
        <x:v>0.85</x:v>
      </x:c>
      <x:c r="E265" s="122" t="n">
        <x:f>IF(OR(A265="",D265=""),"",ROUND('00_Eingabe'!$B$8*D265,0))</x:f>
        <x:v>30</x:v>
      </x:c>
      <x:c r="F265" s="122" t="n">
        <x:f>IF(E265="","",ROUND(E265*'00_Eingabe'!$B$18,0))</x:f>
        <x:v>57</x:v>
      </x:c>
      <x:c r="G265" s="123" t="n">
        <x:f>IF(A265="","",IF(O265&lt;&gt;"",O265,IF(B265="Nebensaison",IF(C265="Wochenende",'00_Eingabe'!$E$24,'00_Eingabe'!$D$24),IF(B265="Hauptsaison",IF(C265="Wochenende",'00_Eingabe'!$E$25,'00_Eingabe'!$D$25),IF(B265="Weihnachten",IF(C265="Wochenende",'00_Eingabe'!$E$26,'00_Eingabe'!$D$26),IF(C265="Wochenende",'00_Eingabe'!$E$27,'00_Eingabe'!$D$27))))))</x:f>
        <x:v>0.85</x:v>
      </x:c>
      <x:c r="H265" s="122" t="n">
        <x:f>IF(OR(A265="",G265=""),"",ROUND('00_Eingabe'!$B$9*G265,0))</x:f>
        <x:v>3</x:v>
      </x:c>
      <x:c r="I265" s="122" t="n">
        <x:f>IF(H265="","",ROUND(H265*'00_Eingabe'!$B$19,0))</x:f>
        <x:v>7</x:v>
      </x:c>
      <x:c r="J265" s="122" t="n">
        <x:f>IF(OR(F265="",I265=""),"",F265+I265)</x:f>
        <x:v>64</x:v>
      </x:c>
      <x:c r="K265" s="122" t="n">
        <x:f>IF(J265="","",ROUND(J265*'00_Eingabe'!$B$16*(1+'00_Eingabe'!$B$14),0))</x:f>
        <x:v>74</x:v>
      </x:c>
      <x:c r="L265" s="122" t="n">
        <x:f>IF(B265="Betriebsferien",0,ROUND(J265*'00_Eingabe'!$B$40,0)+IF(C265="Wochenende",'00_Eingabe'!$B$42,'00_Eingabe'!$B$41))</x:f>
        <x:v>63</x:v>
      </x:c>
      <x:c r="M265" s="123" t="n">
        <x:f>IF(J265="","",ROUND(J265*'00_Eingabe'!$B$17*(1+'00_Eingabe'!$B$15),0))</x:f>
        <x:v>74</x:v>
      </x:c>
      <x:c r="N265" s="106"/>
      <x:c r="O265" s="106"/>
      <x:c r="P265" s="116"/>
      <x:c r="Q265" s="213" t="n">
        <x:f>IF(C265="Wochenende",1,0)</x:f>
        <x:v>0</x:v>
      </x:c>
      <x:c r="R265" s="213" t="n">
        <x:f>IF(AND(B265&lt;&gt;"Betriebsferien",OR(WEEKDAY(A265,2)=2,WEEKDAY(A265,2)=4)),1,0)</x:f>
        <x:v>0</x:v>
      </x:c>
      <x:c r="S265" s="214" t="n">
        <x:f>R265*MIN(1,'00_Eingabe'!$B$62/'00_Eingabe'!$B$61)</x:f>
        <x:v>0</x:v>
      </x:c>
      <x:c r="T265" s="213" t="n">
        <x:f>IF(B265="Betriebsferien",0,IF(B265="Nebensaison",IF(OR(WEEKDAY(A265,2)=1,WEEKDAY(A265,2)=3,WEEKDAY(A265,2)=5),1,0),IF(C265="Unterwoche",1,0)))</x:f>
        <x:v>1</x:v>
      </x:c>
      <x:c r="U265" s="213" t="n">
        <x:f>IF(B265="Betriebsferien",0,'00_Eingabe'!$G$24)</x:f>
        <x:v>8</x:v>
      </x:c>
    </x:row>
    <x:row r="266">
      <x:c r="A266" s="121" t="n">
        <x:f>IF(ROW()-4&lt;DATE('00_Eingabe'!$B$7+1,1,1)-DATE('00_Eingabe'!$B$7,1,1),DATE('00_Eingabe'!$B$7,1,1)+ROW()-4,"")</x:f>
        <x:v>45920</x:v>
      </x:c>
      <x:c r="B266" s="122" t="str">
        <x:f>IF(A266="","",IF(OR(AND(MONTH(A266)=12,DAY(A266)&gt;=20),AND(MONTH(A266)=1,DAY(A266)&lt;=2)),"Weihnachten",IF(OR(AND(MONTH(A266)=11,DAY(A266)&gt;=24),AND(MONTH(A266)=12,DAY(A266)&lt;=7)),"Betriebsferien",IF(OR(AND(MONTH(A266)=1,DAY(A266)&gt;=3),MONTH(A266)=2,MONTH(A266)=3,MONTH(A266)=4,MONTH(A266)=10,MONTH(A266)=11,AND(MONTH(A266)=12,DAY(A266)&lt;=15)),"Nebensaison","Hauptsaison"))))</x:f>
        <x:v>Hauptsaison</x:v>
      </x:c>
      <x:c r="C266" s="122" t="str">
        <x:f>IF(A266="","",IF(WEEKDAY(A266,2)&gt;=6,"Wochenende","Unterwoche"))</x:f>
        <x:v>Wochenende</x:v>
      </x:c>
      <x:c r="D266" s="123" t="n">
        <x:f>IF(A266="","",IF(N266&lt;&gt;"",N266,IF(B266="Nebensaison",IF(C266="Wochenende",'00_Eingabe'!$C$24,'00_Eingabe'!$B$24),IF(B266="Hauptsaison",IF(C266="Wochenende",'00_Eingabe'!$C$25,'00_Eingabe'!$B$25),IF(B266="Weihnachten",IF(C266="Wochenende",'00_Eingabe'!$C$26,'00_Eingabe'!$B$26),IF(C266="Wochenende",'00_Eingabe'!$C$27,'00_Eingabe'!$B$27))))))</x:f>
        <x:v>0.9</x:v>
      </x:c>
      <x:c r="E266" s="122" t="n">
        <x:f>IF(OR(A266="",D266=""),"",ROUND('00_Eingabe'!$B$8*D266,0))</x:f>
        <x:v>32</x:v>
      </x:c>
      <x:c r="F266" s="122" t="n">
        <x:f>IF(E266="","",ROUND(E266*'00_Eingabe'!$B$18,0))</x:f>
        <x:v>61</x:v>
      </x:c>
      <x:c r="G266" s="123" t="n">
        <x:f>IF(A266="","",IF(O266&lt;&gt;"",O266,IF(B266="Nebensaison",IF(C266="Wochenende",'00_Eingabe'!$E$24,'00_Eingabe'!$D$24),IF(B266="Hauptsaison",IF(C266="Wochenende",'00_Eingabe'!$E$25,'00_Eingabe'!$D$25),IF(B266="Weihnachten",IF(C266="Wochenende",'00_Eingabe'!$E$26,'00_Eingabe'!$D$26),IF(C266="Wochenende",'00_Eingabe'!$E$27,'00_Eingabe'!$D$27))))))</x:f>
        <x:v>0.9</x:v>
      </x:c>
      <x:c r="H266" s="122" t="n">
        <x:f>IF(OR(A266="",G266=""),"",ROUND('00_Eingabe'!$B$9*G266,0))</x:f>
        <x:v>4</x:v>
      </x:c>
      <x:c r="I266" s="122" t="n">
        <x:f>IF(H266="","",ROUND(H266*'00_Eingabe'!$B$19,0))</x:f>
        <x:v>9</x:v>
      </x:c>
      <x:c r="J266" s="122" t="n">
        <x:f>IF(OR(F266="",I266=""),"",F266+I266)</x:f>
        <x:v>70</x:v>
      </x:c>
      <x:c r="K266" s="122" t="n">
        <x:f>IF(J266="","",ROUND(J266*'00_Eingabe'!$B$16*(1+'00_Eingabe'!$B$14),0))</x:f>
        <x:v>81</x:v>
      </x:c>
      <x:c r="L266" s="122" t="n">
        <x:f>IF(B266="Betriebsferien",0,ROUND(J266*'00_Eingabe'!$B$40,0)+IF(C266="Wochenende",'00_Eingabe'!$B$42,'00_Eingabe'!$B$41))</x:f>
        <x:v>93</x:v>
      </x:c>
      <x:c r="M266" s="123" t="n">
        <x:f>IF(J266="","",ROUND(J266*'00_Eingabe'!$B$17*(1+'00_Eingabe'!$B$15),0))</x:f>
        <x:v>81</x:v>
      </x:c>
      <x:c r="N266" s="106"/>
      <x:c r="O266" s="106"/>
      <x:c r="P266" s="116"/>
      <x:c r="Q266" s="213" t="n">
        <x:f>IF(C266="Wochenende",1,0)</x:f>
        <x:v>1</x:v>
      </x:c>
      <x:c r="R266" s="213" t="n">
        <x:f>IF(AND(B266&lt;&gt;"Betriebsferien",OR(WEEKDAY(A266,2)=2,WEEKDAY(A266,2)=4)),1,0)</x:f>
        <x:v>0</x:v>
      </x:c>
      <x:c r="S266" s="214" t="n">
        <x:f>R266*MIN(1,'00_Eingabe'!$B$62/'00_Eingabe'!$B$61)</x:f>
        <x:v>0</x:v>
      </x:c>
      <x:c r="T266" s="213" t="n">
        <x:f>IF(B266="Betriebsferien",0,IF(B266="Nebensaison",IF(OR(WEEKDAY(A266,2)=1,WEEKDAY(A266,2)=3,WEEKDAY(A266,2)=5),1,0),IF(C266="Unterwoche",1,0)))</x:f>
        <x:v>0</x:v>
      </x:c>
      <x:c r="U266" s="213" t="n">
        <x:f>IF(B266="Betriebsferien",0,'00_Eingabe'!$G$24)</x:f>
        <x:v>8</x:v>
      </x:c>
    </x:row>
    <x:row r="267">
      <x:c r="A267" s="121" t="n">
        <x:f>IF(ROW()-4&lt;DATE('00_Eingabe'!$B$7+1,1,1)-DATE('00_Eingabe'!$B$7,1,1),DATE('00_Eingabe'!$B$7,1,1)+ROW()-4,"")</x:f>
        <x:v>45921</x:v>
      </x:c>
      <x:c r="B267" s="122" t="str">
        <x:f>IF(A267="","",IF(OR(AND(MONTH(A267)=12,DAY(A267)&gt;=20),AND(MONTH(A267)=1,DAY(A267)&lt;=2)),"Weihnachten",IF(OR(AND(MONTH(A267)=11,DAY(A267)&gt;=24),AND(MONTH(A267)=12,DAY(A267)&lt;=7)),"Betriebsferien",IF(OR(AND(MONTH(A267)=1,DAY(A267)&gt;=3),MONTH(A267)=2,MONTH(A267)=3,MONTH(A267)=4,MONTH(A267)=10,MONTH(A267)=11,AND(MONTH(A267)=12,DAY(A267)&lt;=15)),"Nebensaison","Hauptsaison"))))</x:f>
        <x:v>Hauptsaison</x:v>
      </x:c>
      <x:c r="C267" s="122" t="str">
        <x:f>IF(A267="","",IF(WEEKDAY(A267,2)&gt;=6,"Wochenende","Unterwoche"))</x:f>
        <x:v>Wochenende</x:v>
      </x:c>
      <x:c r="D267" s="123" t="n">
        <x:f>IF(A267="","",IF(N267&lt;&gt;"",N267,IF(B267="Nebensaison",IF(C267="Wochenende",'00_Eingabe'!$C$24,'00_Eingabe'!$B$24),IF(B267="Hauptsaison",IF(C267="Wochenende",'00_Eingabe'!$C$25,'00_Eingabe'!$B$25),IF(B267="Weihnachten",IF(C267="Wochenende",'00_Eingabe'!$C$26,'00_Eingabe'!$B$26),IF(C267="Wochenende",'00_Eingabe'!$C$27,'00_Eingabe'!$B$27))))))</x:f>
        <x:v>0.9</x:v>
      </x:c>
      <x:c r="E267" s="122" t="n">
        <x:f>IF(OR(A267="",D267=""),"",ROUND('00_Eingabe'!$B$8*D267,0))</x:f>
        <x:v>32</x:v>
      </x:c>
      <x:c r="F267" s="122" t="n">
        <x:f>IF(E267="","",ROUND(E267*'00_Eingabe'!$B$18,0))</x:f>
        <x:v>61</x:v>
      </x:c>
      <x:c r="G267" s="123" t="n">
        <x:f>IF(A267="","",IF(O267&lt;&gt;"",O267,IF(B267="Nebensaison",IF(C267="Wochenende",'00_Eingabe'!$E$24,'00_Eingabe'!$D$24),IF(B267="Hauptsaison",IF(C267="Wochenende",'00_Eingabe'!$E$25,'00_Eingabe'!$D$25),IF(B267="Weihnachten",IF(C267="Wochenende",'00_Eingabe'!$E$26,'00_Eingabe'!$D$26),IF(C267="Wochenende",'00_Eingabe'!$E$27,'00_Eingabe'!$D$27))))))</x:f>
        <x:v>0.9</x:v>
      </x:c>
      <x:c r="H267" s="122" t="n">
        <x:f>IF(OR(A267="",G267=""),"",ROUND('00_Eingabe'!$B$9*G267,0))</x:f>
        <x:v>4</x:v>
      </x:c>
      <x:c r="I267" s="122" t="n">
        <x:f>IF(H267="","",ROUND(H267*'00_Eingabe'!$B$19,0))</x:f>
        <x:v>9</x:v>
      </x:c>
      <x:c r="J267" s="122" t="n">
        <x:f>IF(OR(F267="",I267=""),"",F267+I267)</x:f>
        <x:v>70</x:v>
      </x:c>
      <x:c r="K267" s="122" t="n">
        <x:f>IF(J267="","",ROUND(J267*'00_Eingabe'!$B$16*(1+'00_Eingabe'!$B$14),0))</x:f>
        <x:v>81</x:v>
      </x:c>
      <x:c r="L267" s="122" t="n">
        <x:f>IF(B267="Betriebsferien",0,ROUND(J267*'00_Eingabe'!$B$40,0)+IF(C267="Wochenende",'00_Eingabe'!$B$42,'00_Eingabe'!$B$41))</x:f>
        <x:v>93</x:v>
      </x:c>
      <x:c r="M267" s="123" t="n">
        <x:f>IF(J267="","",ROUND(J267*'00_Eingabe'!$B$17*(1+'00_Eingabe'!$B$15),0))</x:f>
        <x:v>81</x:v>
      </x:c>
      <x:c r="N267" s="106"/>
      <x:c r="O267" s="106"/>
      <x:c r="P267" s="116"/>
      <x:c r="Q267" s="213" t="n">
        <x:f>IF(C267="Wochenende",1,0)</x:f>
        <x:v>1</x:v>
      </x:c>
      <x:c r="R267" s="213" t="n">
        <x:f>IF(AND(B267&lt;&gt;"Betriebsferien",OR(WEEKDAY(A267,2)=2,WEEKDAY(A267,2)=4)),1,0)</x:f>
        <x:v>0</x:v>
      </x:c>
      <x:c r="S267" s="214" t="n">
        <x:f>R267*MIN(1,'00_Eingabe'!$B$62/'00_Eingabe'!$B$61)</x:f>
        <x:v>0</x:v>
      </x:c>
      <x:c r="T267" s="213" t="n">
        <x:f>IF(B267="Betriebsferien",0,IF(B267="Nebensaison",IF(OR(WEEKDAY(A267,2)=1,WEEKDAY(A267,2)=3,WEEKDAY(A267,2)=5),1,0),IF(C267="Unterwoche",1,0)))</x:f>
        <x:v>0</x:v>
      </x:c>
      <x:c r="U267" s="213" t="n">
        <x:f>IF(B267="Betriebsferien",0,'00_Eingabe'!$G$24)</x:f>
        <x:v>8</x:v>
      </x:c>
    </x:row>
    <x:row r="268">
      <x:c r="A268" s="121" t="n">
        <x:f>IF(ROW()-4&lt;DATE('00_Eingabe'!$B$7+1,1,1)-DATE('00_Eingabe'!$B$7,1,1),DATE('00_Eingabe'!$B$7,1,1)+ROW()-4,"")</x:f>
        <x:v>45922</x:v>
      </x:c>
      <x:c r="B268" s="122" t="str">
        <x:f>IF(A268="","",IF(OR(AND(MONTH(A268)=12,DAY(A268)&gt;=20),AND(MONTH(A268)=1,DAY(A268)&lt;=2)),"Weihnachten",IF(OR(AND(MONTH(A268)=11,DAY(A268)&gt;=24),AND(MONTH(A268)=12,DAY(A268)&lt;=7)),"Betriebsferien",IF(OR(AND(MONTH(A268)=1,DAY(A268)&gt;=3),MONTH(A268)=2,MONTH(A268)=3,MONTH(A268)=4,MONTH(A268)=10,MONTH(A268)=11,AND(MONTH(A268)=12,DAY(A268)&lt;=15)),"Nebensaison","Hauptsaison"))))</x:f>
        <x:v>Hauptsaison</x:v>
      </x:c>
      <x:c r="C268" s="122" t="str">
        <x:f>IF(A268="","",IF(WEEKDAY(A268,2)&gt;=6,"Wochenende","Unterwoche"))</x:f>
        <x:v>Unterwoche</x:v>
      </x:c>
      <x:c r="D268" s="123" t="n">
        <x:f>IF(A268="","",IF(N268&lt;&gt;"",N268,IF(B268="Nebensaison",IF(C268="Wochenende",'00_Eingabe'!$C$24,'00_Eingabe'!$B$24),IF(B268="Hauptsaison",IF(C268="Wochenende",'00_Eingabe'!$C$25,'00_Eingabe'!$B$25),IF(B268="Weihnachten",IF(C268="Wochenende",'00_Eingabe'!$C$26,'00_Eingabe'!$B$26),IF(C268="Wochenende",'00_Eingabe'!$C$27,'00_Eingabe'!$B$27))))))</x:f>
        <x:v>0.85</x:v>
      </x:c>
      <x:c r="E268" s="122" t="n">
        <x:f>IF(OR(A268="",D268=""),"",ROUND('00_Eingabe'!$B$8*D268,0))</x:f>
        <x:v>30</x:v>
      </x:c>
      <x:c r="F268" s="122" t="n">
        <x:f>IF(E268="","",ROUND(E268*'00_Eingabe'!$B$18,0))</x:f>
        <x:v>57</x:v>
      </x:c>
      <x:c r="G268" s="123" t="n">
        <x:f>IF(A268="","",IF(O268&lt;&gt;"",O268,IF(B268="Nebensaison",IF(C268="Wochenende",'00_Eingabe'!$E$24,'00_Eingabe'!$D$24),IF(B268="Hauptsaison",IF(C268="Wochenende",'00_Eingabe'!$E$25,'00_Eingabe'!$D$25),IF(B268="Weihnachten",IF(C268="Wochenende",'00_Eingabe'!$E$26,'00_Eingabe'!$D$26),IF(C268="Wochenende",'00_Eingabe'!$E$27,'00_Eingabe'!$D$27))))))</x:f>
        <x:v>0.85</x:v>
      </x:c>
      <x:c r="H268" s="122" t="n">
        <x:f>IF(OR(A268="",G268=""),"",ROUND('00_Eingabe'!$B$9*G268,0))</x:f>
        <x:v>3</x:v>
      </x:c>
      <x:c r="I268" s="122" t="n">
        <x:f>IF(H268="","",ROUND(H268*'00_Eingabe'!$B$19,0))</x:f>
        <x:v>7</x:v>
      </x:c>
      <x:c r="J268" s="122" t="n">
        <x:f>IF(OR(F268="",I268=""),"",F268+I268)</x:f>
        <x:v>64</x:v>
      </x:c>
      <x:c r="K268" s="122" t="n">
        <x:f>IF(J268="","",ROUND(J268*'00_Eingabe'!$B$16*(1+'00_Eingabe'!$B$14),0))</x:f>
        <x:v>74</x:v>
      </x:c>
      <x:c r="L268" s="122" t="n">
        <x:f>IF(B268="Betriebsferien",0,ROUND(J268*'00_Eingabe'!$B$40,0)+IF(C268="Wochenende",'00_Eingabe'!$B$42,'00_Eingabe'!$B$41))</x:f>
        <x:v>63</x:v>
      </x:c>
      <x:c r="M268" s="123" t="n">
        <x:f>IF(J268="","",ROUND(J268*'00_Eingabe'!$B$17*(1+'00_Eingabe'!$B$15),0))</x:f>
        <x:v>74</x:v>
      </x:c>
      <x:c r="N268" s="106"/>
      <x:c r="O268" s="106"/>
      <x:c r="P268" s="116"/>
      <x:c r="Q268" s="213" t="n">
        <x:f>IF(C268="Wochenende",1,0)</x:f>
        <x:v>0</x:v>
      </x:c>
      <x:c r="R268" s="213" t="n">
        <x:f>IF(AND(B268&lt;&gt;"Betriebsferien",OR(WEEKDAY(A268,2)=2,WEEKDAY(A268,2)=4)),1,0)</x:f>
        <x:v>0</x:v>
      </x:c>
      <x:c r="S268" s="214" t="n">
        <x:f>R268*MIN(1,'00_Eingabe'!$B$62/'00_Eingabe'!$B$61)</x:f>
        <x:v>0</x:v>
      </x:c>
      <x:c r="T268" s="213" t="n">
        <x:f>IF(B268="Betriebsferien",0,IF(B268="Nebensaison",IF(OR(WEEKDAY(A268,2)=1,WEEKDAY(A268,2)=3,WEEKDAY(A268,2)=5),1,0),IF(C268="Unterwoche",1,0)))</x:f>
        <x:v>1</x:v>
      </x:c>
      <x:c r="U268" s="213" t="n">
        <x:f>IF(B268="Betriebsferien",0,'00_Eingabe'!$G$24)</x:f>
        <x:v>8</x:v>
      </x:c>
    </x:row>
    <x:row r="269">
      <x:c r="A269" s="121" t="n">
        <x:f>IF(ROW()-4&lt;DATE('00_Eingabe'!$B$7+1,1,1)-DATE('00_Eingabe'!$B$7,1,1),DATE('00_Eingabe'!$B$7,1,1)+ROW()-4,"")</x:f>
        <x:v>45923</x:v>
      </x:c>
      <x:c r="B269" s="122" t="str">
        <x:f>IF(A269="","",IF(OR(AND(MONTH(A269)=12,DAY(A269)&gt;=20),AND(MONTH(A269)=1,DAY(A269)&lt;=2)),"Weihnachten",IF(OR(AND(MONTH(A269)=11,DAY(A269)&gt;=24),AND(MONTH(A269)=12,DAY(A269)&lt;=7)),"Betriebsferien",IF(OR(AND(MONTH(A269)=1,DAY(A269)&gt;=3),MONTH(A269)=2,MONTH(A269)=3,MONTH(A269)=4,MONTH(A269)=10,MONTH(A269)=11,AND(MONTH(A269)=12,DAY(A269)&lt;=15)),"Nebensaison","Hauptsaison"))))</x:f>
        <x:v>Hauptsaison</x:v>
      </x:c>
      <x:c r="C269" s="122" t="str">
        <x:f>IF(A269="","",IF(WEEKDAY(A269,2)&gt;=6,"Wochenende","Unterwoche"))</x:f>
        <x:v>Unterwoche</x:v>
      </x:c>
      <x:c r="D269" s="123" t="n">
        <x:f>IF(A269="","",IF(N269&lt;&gt;"",N269,IF(B269="Nebensaison",IF(C269="Wochenende",'00_Eingabe'!$C$24,'00_Eingabe'!$B$24),IF(B269="Hauptsaison",IF(C269="Wochenende",'00_Eingabe'!$C$25,'00_Eingabe'!$B$25),IF(B269="Weihnachten",IF(C269="Wochenende",'00_Eingabe'!$C$26,'00_Eingabe'!$B$26),IF(C269="Wochenende",'00_Eingabe'!$C$27,'00_Eingabe'!$B$27))))))</x:f>
        <x:v>0.85</x:v>
      </x:c>
      <x:c r="E269" s="122" t="n">
        <x:f>IF(OR(A269="",D269=""),"",ROUND('00_Eingabe'!$B$8*D269,0))</x:f>
        <x:v>30</x:v>
      </x:c>
      <x:c r="F269" s="122" t="n">
        <x:f>IF(E269="","",ROUND(E269*'00_Eingabe'!$B$18,0))</x:f>
        <x:v>57</x:v>
      </x:c>
      <x:c r="G269" s="123" t="n">
        <x:f>IF(A269="","",IF(O269&lt;&gt;"",O269,IF(B269="Nebensaison",IF(C269="Wochenende",'00_Eingabe'!$E$24,'00_Eingabe'!$D$24),IF(B269="Hauptsaison",IF(C269="Wochenende",'00_Eingabe'!$E$25,'00_Eingabe'!$D$25),IF(B269="Weihnachten",IF(C269="Wochenende",'00_Eingabe'!$E$26,'00_Eingabe'!$D$26),IF(C269="Wochenende",'00_Eingabe'!$E$27,'00_Eingabe'!$D$27))))))</x:f>
        <x:v>0.85</x:v>
      </x:c>
      <x:c r="H269" s="122" t="n">
        <x:f>IF(OR(A269="",G269=""),"",ROUND('00_Eingabe'!$B$9*G269,0))</x:f>
        <x:v>3</x:v>
      </x:c>
      <x:c r="I269" s="122" t="n">
        <x:f>IF(H269="","",ROUND(H269*'00_Eingabe'!$B$19,0))</x:f>
        <x:v>7</x:v>
      </x:c>
      <x:c r="J269" s="122" t="n">
        <x:f>IF(OR(F269="",I269=""),"",F269+I269)</x:f>
        <x:v>64</x:v>
      </x:c>
      <x:c r="K269" s="122" t="n">
        <x:f>IF(J269="","",ROUND(J269*'00_Eingabe'!$B$16*(1+'00_Eingabe'!$B$14),0))</x:f>
        <x:v>74</x:v>
      </x:c>
      <x:c r="L269" s="122" t="n">
        <x:f>IF(B269="Betriebsferien",0,ROUND(J269*'00_Eingabe'!$B$40,0)+IF(C269="Wochenende",'00_Eingabe'!$B$42,'00_Eingabe'!$B$41))</x:f>
        <x:v>63</x:v>
      </x:c>
      <x:c r="M269" s="123" t="n">
        <x:f>IF(J269="","",ROUND(J269*'00_Eingabe'!$B$17*(1+'00_Eingabe'!$B$15),0))</x:f>
        <x:v>74</x:v>
      </x:c>
      <x:c r="N269" s="106"/>
      <x:c r="O269" s="106"/>
      <x:c r="P269" s="116"/>
      <x:c r="Q269" s="213" t="n">
        <x:f>IF(C269="Wochenende",1,0)</x:f>
        <x:v>0</x:v>
      </x:c>
      <x:c r="R269" s="213" t="n">
        <x:f>IF(AND(B269&lt;&gt;"Betriebsferien",OR(WEEKDAY(A269,2)=2,WEEKDAY(A269,2)=4)),1,0)</x:f>
        <x:v>1</x:v>
      </x:c>
      <x:c r="S269" s="214" t="n">
        <x:f>R269*MIN(1,'00_Eingabe'!$B$62/'00_Eingabe'!$B$61)</x:f>
        <x:v>0.5</x:v>
      </x:c>
      <x:c r="T269" s="213" t="n">
        <x:f>IF(B269="Betriebsferien",0,IF(B269="Nebensaison",IF(OR(WEEKDAY(A269,2)=1,WEEKDAY(A269,2)=3,WEEKDAY(A269,2)=5),1,0),IF(C269="Unterwoche",1,0)))</x:f>
        <x:v>1</x:v>
      </x:c>
      <x:c r="U269" s="213" t="n">
        <x:f>IF(B269="Betriebsferien",0,'00_Eingabe'!$G$24)</x:f>
        <x:v>8</x:v>
      </x:c>
    </x:row>
    <x:row r="270">
      <x:c r="A270" s="121" t="n">
        <x:f>IF(ROW()-4&lt;DATE('00_Eingabe'!$B$7+1,1,1)-DATE('00_Eingabe'!$B$7,1,1),DATE('00_Eingabe'!$B$7,1,1)+ROW()-4,"")</x:f>
        <x:v>45924</x:v>
      </x:c>
      <x:c r="B270" s="122" t="str">
        <x:f>IF(A270="","",IF(OR(AND(MONTH(A270)=12,DAY(A270)&gt;=20),AND(MONTH(A270)=1,DAY(A270)&lt;=2)),"Weihnachten",IF(OR(AND(MONTH(A270)=11,DAY(A270)&gt;=24),AND(MONTH(A270)=12,DAY(A270)&lt;=7)),"Betriebsferien",IF(OR(AND(MONTH(A270)=1,DAY(A270)&gt;=3),MONTH(A270)=2,MONTH(A270)=3,MONTH(A270)=4,MONTH(A270)=10,MONTH(A270)=11,AND(MONTH(A270)=12,DAY(A270)&lt;=15)),"Nebensaison","Hauptsaison"))))</x:f>
        <x:v>Hauptsaison</x:v>
      </x:c>
      <x:c r="C270" s="122" t="str">
        <x:f>IF(A270="","",IF(WEEKDAY(A270,2)&gt;=6,"Wochenende","Unterwoche"))</x:f>
        <x:v>Unterwoche</x:v>
      </x:c>
      <x:c r="D270" s="123" t="n">
        <x:f>IF(A270="","",IF(N270&lt;&gt;"",N270,IF(B270="Nebensaison",IF(C270="Wochenende",'00_Eingabe'!$C$24,'00_Eingabe'!$B$24),IF(B270="Hauptsaison",IF(C270="Wochenende",'00_Eingabe'!$C$25,'00_Eingabe'!$B$25),IF(B270="Weihnachten",IF(C270="Wochenende",'00_Eingabe'!$C$26,'00_Eingabe'!$B$26),IF(C270="Wochenende",'00_Eingabe'!$C$27,'00_Eingabe'!$B$27))))))</x:f>
        <x:v>0.85</x:v>
      </x:c>
      <x:c r="E270" s="122" t="n">
        <x:f>IF(OR(A270="",D270=""),"",ROUND('00_Eingabe'!$B$8*D270,0))</x:f>
        <x:v>30</x:v>
      </x:c>
      <x:c r="F270" s="122" t="n">
        <x:f>IF(E270="","",ROUND(E270*'00_Eingabe'!$B$18,0))</x:f>
        <x:v>57</x:v>
      </x:c>
      <x:c r="G270" s="123" t="n">
        <x:f>IF(A270="","",IF(O270&lt;&gt;"",O270,IF(B270="Nebensaison",IF(C270="Wochenende",'00_Eingabe'!$E$24,'00_Eingabe'!$D$24),IF(B270="Hauptsaison",IF(C270="Wochenende",'00_Eingabe'!$E$25,'00_Eingabe'!$D$25),IF(B270="Weihnachten",IF(C270="Wochenende",'00_Eingabe'!$E$26,'00_Eingabe'!$D$26),IF(C270="Wochenende",'00_Eingabe'!$E$27,'00_Eingabe'!$D$27))))))</x:f>
        <x:v>0.85</x:v>
      </x:c>
      <x:c r="H270" s="122" t="n">
        <x:f>IF(OR(A270="",G270=""),"",ROUND('00_Eingabe'!$B$9*G270,0))</x:f>
        <x:v>3</x:v>
      </x:c>
      <x:c r="I270" s="122" t="n">
        <x:f>IF(H270="","",ROUND(H270*'00_Eingabe'!$B$19,0))</x:f>
        <x:v>7</x:v>
      </x:c>
      <x:c r="J270" s="122" t="n">
        <x:f>IF(OR(F270="",I270=""),"",F270+I270)</x:f>
        <x:v>64</x:v>
      </x:c>
      <x:c r="K270" s="122" t="n">
        <x:f>IF(J270="","",ROUND(J270*'00_Eingabe'!$B$16*(1+'00_Eingabe'!$B$14),0))</x:f>
        <x:v>74</x:v>
      </x:c>
      <x:c r="L270" s="122" t="n">
        <x:f>IF(B270="Betriebsferien",0,ROUND(J270*'00_Eingabe'!$B$40,0)+IF(C270="Wochenende",'00_Eingabe'!$B$42,'00_Eingabe'!$B$41))</x:f>
        <x:v>63</x:v>
      </x:c>
      <x:c r="M270" s="123" t="n">
        <x:f>IF(J270="","",ROUND(J270*'00_Eingabe'!$B$17*(1+'00_Eingabe'!$B$15),0))</x:f>
        <x:v>74</x:v>
      </x:c>
      <x:c r="N270" s="106"/>
      <x:c r="O270" s="106"/>
      <x:c r="P270" s="116"/>
      <x:c r="Q270" s="213" t="n">
        <x:f>IF(C270="Wochenende",1,0)</x:f>
        <x:v>0</x:v>
      </x:c>
      <x:c r="R270" s="213" t="n">
        <x:f>IF(AND(B270&lt;&gt;"Betriebsferien",OR(WEEKDAY(A270,2)=2,WEEKDAY(A270,2)=4)),1,0)</x:f>
        <x:v>0</x:v>
      </x:c>
      <x:c r="S270" s="214" t="n">
        <x:f>R270*MIN(1,'00_Eingabe'!$B$62/'00_Eingabe'!$B$61)</x:f>
        <x:v>0</x:v>
      </x:c>
      <x:c r="T270" s="213" t="n">
        <x:f>IF(B270="Betriebsferien",0,IF(B270="Nebensaison",IF(OR(WEEKDAY(A270,2)=1,WEEKDAY(A270,2)=3,WEEKDAY(A270,2)=5),1,0),IF(C270="Unterwoche",1,0)))</x:f>
        <x:v>1</x:v>
      </x:c>
      <x:c r="U270" s="213" t="n">
        <x:f>IF(B270="Betriebsferien",0,'00_Eingabe'!$G$24)</x:f>
        <x:v>8</x:v>
      </x:c>
    </x:row>
    <x:row r="271">
      <x:c r="A271" s="121" t="n">
        <x:f>IF(ROW()-4&lt;DATE('00_Eingabe'!$B$7+1,1,1)-DATE('00_Eingabe'!$B$7,1,1),DATE('00_Eingabe'!$B$7,1,1)+ROW()-4,"")</x:f>
        <x:v>45925</x:v>
      </x:c>
      <x:c r="B271" s="122" t="str">
        <x:f>IF(A271="","",IF(OR(AND(MONTH(A271)=12,DAY(A271)&gt;=20),AND(MONTH(A271)=1,DAY(A271)&lt;=2)),"Weihnachten",IF(OR(AND(MONTH(A271)=11,DAY(A271)&gt;=24),AND(MONTH(A271)=12,DAY(A271)&lt;=7)),"Betriebsferien",IF(OR(AND(MONTH(A271)=1,DAY(A271)&gt;=3),MONTH(A271)=2,MONTH(A271)=3,MONTH(A271)=4,MONTH(A271)=10,MONTH(A271)=11,AND(MONTH(A271)=12,DAY(A271)&lt;=15)),"Nebensaison","Hauptsaison"))))</x:f>
        <x:v>Hauptsaison</x:v>
      </x:c>
      <x:c r="C271" s="122" t="str">
        <x:f>IF(A271="","",IF(WEEKDAY(A271,2)&gt;=6,"Wochenende","Unterwoche"))</x:f>
        <x:v>Unterwoche</x:v>
      </x:c>
      <x:c r="D271" s="123" t="n">
        <x:f>IF(A271="","",IF(N271&lt;&gt;"",N271,IF(B271="Nebensaison",IF(C271="Wochenende",'00_Eingabe'!$C$24,'00_Eingabe'!$B$24),IF(B271="Hauptsaison",IF(C271="Wochenende",'00_Eingabe'!$C$25,'00_Eingabe'!$B$25),IF(B271="Weihnachten",IF(C271="Wochenende",'00_Eingabe'!$C$26,'00_Eingabe'!$B$26),IF(C271="Wochenende",'00_Eingabe'!$C$27,'00_Eingabe'!$B$27))))))</x:f>
        <x:v>0.85</x:v>
      </x:c>
      <x:c r="E271" s="122" t="n">
        <x:f>IF(OR(A271="",D271=""),"",ROUND('00_Eingabe'!$B$8*D271,0))</x:f>
        <x:v>30</x:v>
      </x:c>
      <x:c r="F271" s="122" t="n">
        <x:f>IF(E271="","",ROUND(E271*'00_Eingabe'!$B$18,0))</x:f>
        <x:v>57</x:v>
      </x:c>
      <x:c r="G271" s="123" t="n">
        <x:f>IF(A271="","",IF(O271&lt;&gt;"",O271,IF(B271="Nebensaison",IF(C271="Wochenende",'00_Eingabe'!$E$24,'00_Eingabe'!$D$24),IF(B271="Hauptsaison",IF(C271="Wochenende",'00_Eingabe'!$E$25,'00_Eingabe'!$D$25),IF(B271="Weihnachten",IF(C271="Wochenende",'00_Eingabe'!$E$26,'00_Eingabe'!$D$26),IF(C271="Wochenende",'00_Eingabe'!$E$27,'00_Eingabe'!$D$27))))))</x:f>
        <x:v>0.85</x:v>
      </x:c>
      <x:c r="H271" s="122" t="n">
        <x:f>IF(OR(A271="",G271=""),"",ROUND('00_Eingabe'!$B$9*G271,0))</x:f>
        <x:v>3</x:v>
      </x:c>
      <x:c r="I271" s="122" t="n">
        <x:f>IF(H271="","",ROUND(H271*'00_Eingabe'!$B$19,0))</x:f>
        <x:v>7</x:v>
      </x:c>
      <x:c r="J271" s="122" t="n">
        <x:f>IF(OR(F271="",I271=""),"",F271+I271)</x:f>
        <x:v>64</x:v>
      </x:c>
      <x:c r="K271" s="122" t="n">
        <x:f>IF(J271="","",ROUND(J271*'00_Eingabe'!$B$16*(1+'00_Eingabe'!$B$14),0))</x:f>
        <x:v>74</x:v>
      </x:c>
      <x:c r="L271" s="122" t="n">
        <x:f>IF(B271="Betriebsferien",0,ROUND(J271*'00_Eingabe'!$B$40,0)+IF(C271="Wochenende",'00_Eingabe'!$B$42,'00_Eingabe'!$B$41))</x:f>
        <x:v>63</x:v>
      </x:c>
      <x:c r="M271" s="123" t="n">
        <x:f>IF(J271="","",ROUND(J271*'00_Eingabe'!$B$17*(1+'00_Eingabe'!$B$15),0))</x:f>
        <x:v>74</x:v>
      </x:c>
      <x:c r="N271" s="106"/>
      <x:c r="O271" s="106"/>
      <x:c r="P271" s="116"/>
      <x:c r="Q271" s="213" t="n">
        <x:f>IF(C271="Wochenende",1,0)</x:f>
        <x:v>0</x:v>
      </x:c>
      <x:c r="R271" s="213" t="n">
        <x:f>IF(AND(B271&lt;&gt;"Betriebsferien",OR(WEEKDAY(A271,2)=2,WEEKDAY(A271,2)=4)),1,0)</x:f>
        <x:v>1</x:v>
      </x:c>
      <x:c r="S271" s="214" t="n">
        <x:f>R271*MIN(1,'00_Eingabe'!$B$62/'00_Eingabe'!$B$61)</x:f>
        <x:v>0.5</x:v>
      </x:c>
      <x:c r="T271" s="213" t="n">
        <x:f>IF(B271="Betriebsferien",0,IF(B271="Nebensaison",IF(OR(WEEKDAY(A271,2)=1,WEEKDAY(A271,2)=3,WEEKDAY(A271,2)=5),1,0),IF(C271="Unterwoche",1,0)))</x:f>
        <x:v>1</x:v>
      </x:c>
      <x:c r="U271" s="213" t="n">
        <x:f>IF(B271="Betriebsferien",0,'00_Eingabe'!$G$24)</x:f>
        <x:v>8</x:v>
      </x:c>
    </x:row>
    <x:row r="272">
      <x:c r="A272" s="121" t="n">
        <x:f>IF(ROW()-4&lt;DATE('00_Eingabe'!$B$7+1,1,1)-DATE('00_Eingabe'!$B$7,1,1),DATE('00_Eingabe'!$B$7,1,1)+ROW()-4,"")</x:f>
        <x:v>45926</x:v>
      </x:c>
      <x:c r="B272" s="122" t="str">
        <x:f>IF(A272="","",IF(OR(AND(MONTH(A272)=12,DAY(A272)&gt;=20),AND(MONTH(A272)=1,DAY(A272)&lt;=2)),"Weihnachten",IF(OR(AND(MONTH(A272)=11,DAY(A272)&gt;=24),AND(MONTH(A272)=12,DAY(A272)&lt;=7)),"Betriebsferien",IF(OR(AND(MONTH(A272)=1,DAY(A272)&gt;=3),MONTH(A272)=2,MONTH(A272)=3,MONTH(A272)=4,MONTH(A272)=10,MONTH(A272)=11,AND(MONTH(A272)=12,DAY(A272)&lt;=15)),"Nebensaison","Hauptsaison"))))</x:f>
        <x:v>Hauptsaison</x:v>
      </x:c>
      <x:c r="C272" s="122" t="str">
        <x:f>IF(A272="","",IF(WEEKDAY(A272,2)&gt;=6,"Wochenende","Unterwoche"))</x:f>
        <x:v>Unterwoche</x:v>
      </x:c>
      <x:c r="D272" s="123" t="n">
        <x:f>IF(A272="","",IF(N272&lt;&gt;"",N272,IF(B272="Nebensaison",IF(C272="Wochenende",'00_Eingabe'!$C$24,'00_Eingabe'!$B$24),IF(B272="Hauptsaison",IF(C272="Wochenende",'00_Eingabe'!$C$25,'00_Eingabe'!$B$25),IF(B272="Weihnachten",IF(C272="Wochenende",'00_Eingabe'!$C$26,'00_Eingabe'!$B$26),IF(C272="Wochenende",'00_Eingabe'!$C$27,'00_Eingabe'!$B$27))))))</x:f>
        <x:v>0.85</x:v>
      </x:c>
      <x:c r="E272" s="122" t="n">
        <x:f>IF(OR(A272="",D272=""),"",ROUND('00_Eingabe'!$B$8*D272,0))</x:f>
        <x:v>30</x:v>
      </x:c>
      <x:c r="F272" s="122" t="n">
        <x:f>IF(E272="","",ROUND(E272*'00_Eingabe'!$B$18,0))</x:f>
        <x:v>57</x:v>
      </x:c>
      <x:c r="G272" s="123" t="n">
        <x:f>IF(A272="","",IF(O272&lt;&gt;"",O272,IF(B272="Nebensaison",IF(C272="Wochenende",'00_Eingabe'!$E$24,'00_Eingabe'!$D$24),IF(B272="Hauptsaison",IF(C272="Wochenende",'00_Eingabe'!$E$25,'00_Eingabe'!$D$25),IF(B272="Weihnachten",IF(C272="Wochenende",'00_Eingabe'!$E$26,'00_Eingabe'!$D$26),IF(C272="Wochenende",'00_Eingabe'!$E$27,'00_Eingabe'!$D$27))))))</x:f>
        <x:v>0.85</x:v>
      </x:c>
      <x:c r="H272" s="122" t="n">
        <x:f>IF(OR(A272="",G272=""),"",ROUND('00_Eingabe'!$B$9*G272,0))</x:f>
        <x:v>3</x:v>
      </x:c>
      <x:c r="I272" s="122" t="n">
        <x:f>IF(H272="","",ROUND(H272*'00_Eingabe'!$B$19,0))</x:f>
        <x:v>7</x:v>
      </x:c>
      <x:c r="J272" s="122" t="n">
        <x:f>IF(OR(F272="",I272=""),"",F272+I272)</x:f>
        <x:v>64</x:v>
      </x:c>
      <x:c r="K272" s="122" t="n">
        <x:f>IF(J272="","",ROUND(J272*'00_Eingabe'!$B$16*(1+'00_Eingabe'!$B$14),0))</x:f>
        <x:v>74</x:v>
      </x:c>
      <x:c r="L272" s="122" t="n">
        <x:f>IF(B272="Betriebsferien",0,ROUND(J272*'00_Eingabe'!$B$40,0)+IF(C272="Wochenende",'00_Eingabe'!$B$42,'00_Eingabe'!$B$41))</x:f>
        <x:v>63</x:v>
      </x:c>
      <x:c r="M272" s="123" t="n">
        <x:f>IF(J272="","",ROUND(J272*'00_Eingabe'!$B$17*(1+'00_Eingabe'!$B$15),0))</x:f>
        <x:v>74</x:v>
      </x:c>
      <x:c r="N272" s="106"/>
      <x:c r="O272" s="106"/>
      <x:c r="P272" s="116"/>
      <x:c r="Q272" s="213" t="n">
        <x:f>IF(C272="Wochenende",1,0)</x:f>
        <x:v>0</x:v>
      </x:c>
      <x:c r="R272" s="213" t="n">
        <x:f>IF(AND(B272&lt;&gt;"Betriebsferien",OR(WEEKDAY(A272,2)=2,WEEKDAY(A272,2)=4)),1,0)</x:f>
        <x:v>0</x:v>
      </x:c>
      <x:c r="S272" s="214" t="n">
        <x:f>R272*MIN(1,'00_Eingabe'!$B$62/'00_Eingabe'!$B$61)</x:f>
        <x:v>0</x:v>
      </x:c>
      <x:c r="T272" s="213" t="n">
        <x:f>IF(B272="Betriebsferien",0,IF(B272="Nebensaison",IF(OR(WEEKDAY(A272,2)=1,WEEKDAY(A272,2)=3,WEEKDAY(A272,2)=5),1,0),IF(C272="Unterwoche",1,0)))</x:f>
        <x:v>1</x:v>
      </x:c>
      <x:c r="U272" s="213" t="n">
        <x:f>IF(B272="Betriebsferien",0,'00_Eingabe'!$G$24)</x:f>
        <x:v>8</x:v>
      </x:c>
    </x:row>
    <x:row r="273">
      <x:c r="A273" s="121" t="n">
        <x:f>IF(ROW()-4&lt;DATE('00_Eingabe'!$B$7+1,1,1)-DATE('00_Eingabe'!$B$7,1,1),DATE('00_Eingabe'!$B$7,1,1)+ROW()-4,"")</x:f>
        <x:v>45927</x:v>
      </x:c>
      <x:c r="B273" s="122" t="str">
        <x:f>IF(A273="","",IF(OR(AND(MONTH(A273)=12,DAY(A273)&gt;=20),AND(MONTH(A273)=1,DAY(A273)&lt;=2)),"Weihnachten",IF(OR(AND(MONTH(A273)=11,DAY(A273)&gt;=24),AND(MONTH(A273)=12,DAY(A273)&lt;=7)),"Betriebsferien",IF(OR(AND(MONTH(A273)=1,DAY(A273)&gt;=3),MONTH(A273)=2,MONTH(A273)=3,MONTH(A273)=4,MONTH(A273)=10,MONTH(A273)=11,AND(MONTH(A273)=12,DAY(A273)&lt;=15)),"Nebensaison","Hauptsaison"))))</x:f>
        <x:v>Hauptsaison</x:v>
      </x:c>
      <x:c r="C273" s="122" t="str">
        <x:f>IF(A273="","",IF(WEEKDAY(A273,2)&gt;=6,"Wochenende","Unterwoche"))</x:f>
        <x:v>Wochenende</x:v>
      </x:c>
      <x:c r="D273" s="123" t="n">
        <x:f>IF(A273="","",IF(N273&lt;&gt;"",N273,IF(B273="Nebensaison",IF(C273="Wochenende",'00_Eingabe'!$C$24,'00_Eingabe'!$B$24),IF(B273="Hauptsaison",IF(C273="Wochenende",'00_Eingabe'!$C$25,'00_Eingabe'!$B$25),IF(B273="Weihnachten",IF(C273="Wochenende",'00_Eingabe'!$C$26,'00_Eingabe'!$B$26),IF(C273="Wochenende",'00_Eingabe'!$C$27,'00_Eingabe'!$B$27))))))</x:f>
        <x:v>0.9</x:v>
      </x:c>
      <x:c r="E273" s="122" t="n">
        <x:f>IF(OR(A273="",D273=""),"",ROUND('00_Eingabe'!$B$8*D273,0))</x:f>
        <x:v>32</x:v>
      </x:c>
      <x:c r="F273" s="122" t="n">
        <x:f>IF(E273="","",ROUND(E273*'00_Eingabe'!$B$18,0))</x:f>
        <x:v>61</x:v>
      </x:c>
      <x:c r="G273" s="123" t="n">
        <x:f>IF(A273="","",IF(O273&lt;&gt;"",O273,IF(B273="Nebensaison",IF(C273="Wochenende",'00_Eingabe'!$E$24,'00_Eingabe'!$D$24),IF(B273="Hauptsaison",IF(C273="Wochenende",'00_Eingabe'!$E$25,'00_Eingabe'!$D$25),IF(B273="Weihnachten",IF(C273="Wochenende",'00_Eingabe'!$E$26,'00_Eingabe'!$D$26),IF(C273="Wochenende",'00_Eingabe'!$E$27,'00_Eingabe'!$D$27))))))</x:f>
        <x:v>0.9</x:v>
      </x:c>
      <x:c r="H273" s="122" t="n">
        <x:f>IF(OR(A273="",G273=""),"",ROUND('00_Eingabe'!$B$9*G273,0))</x:f>
        <x:v>4</x:v>
      </x:c>
      <x:c r="I273" s="122" t="n">
        <x:f>IF(H273="","",ROUND(H273*'00_Eingabe'!$B$19,0))</x:f>
        <x:v>9</x:v>
      </x:c>
      <x:c r="J273" s="122" t="n">
        <x:f>IF(OR(F273="",I273=""),"",F273+I273)</x:f>
        <x:v>70</x:v>
      </x:c>
      <x:c r="K273" s="122" t="n">
        <x:f>IF(J273="","",ROUND(J273*'00_Eingabe'!$B$16*(1+'00_Eingabe'!$B$14),0))</x:f>
        <x:v>81</x:v>
      </x:c>
      <x:c r="L273" s="122" t="n">
        <x:f>IF(B273="Betriebsferien",0,ROUND(J273*'00_Eingabe'!$B$40,0)+IF(C273="Wochenende",'00_Eingabe'!$B$42,'00_Eingabe'!$B$41))</x:f>
        <x:v>93</x:v>
      </x:c>
      <x:c r="M273" s="123" t="n">
        <x:f>IF(J273="","",ROUND(J273*'00_Eingabe'!$B$17*(1+'00_Eingabe'!$B$15),0))</x:f>
        <x:v>81</x:v>
      </x:c>
      <x:c r="N273" s="106"/>
      <x:c r="O273" s="106"/>
      <x:c r="P273" s="116"/>
      <x:c r="Q273" s="213" t="n">
        <x:f>IF(C273="Wochenende",1,0)</x:f>
        <x:v>1</x:v>
      </x:c>
      <x:c r="R273" s="213" t="n">
        <x:f>IF(AND(B273&lt;&gt;"Betriebsferien",OR(WEEKDAY(A273,2)=2,WEEKDAY(A273,2)=4)),1,0)</x:f>
        <x:v>0</x:v>
      </x:c>
      <x:c r="S273" s="214" t="n">
        <x:f>R273*MIN(1,'00_Eingabe'!$B$62/'00_Eingabe'!$B$61)</x:f>
        <x:v>0</x:v>
      </x:c>
      <x:c r="T273" s="213" t="n">
        <x:f>IF(B273="Betriebsferien",0,IF(B273="Nebensaison",IF(OR(WEEKDAY(A273,2)=1,WEEKDAY(A273,2)=3,WEEKDAY(A273,2)=5),1,0),IF(C273="Unterwoche",1,0)))</x:f>
        <x:v>0</x:v>
      </x:c>
      <x:c r="U273" s="213" t="n">
        <x:f>IF(B273="Betriebsferien",0,'00_Eingabe'!$G$24)</x:f>
        <x:v>8</x:v>
      </x:c>
    </x:row>
    <x:row r="274">
      <x:c r="A274" s="121" t="n">
        <x:f>IF(ROW()-4&lt;DATE('00_Eingabe'!$B$7+1,1,1)-DATE('00_Eingabe'!$B$7,1,1),DATE('00_Eingabe'!$B$7,1,1)+ROW()-4,"")</x:f>
        <x:v>45928</x:v>
      </x:c>
      <x:c r="B274" s="122" t="str">
        <x:f>IF(A274="","",IF(OR(AND(MONTH(A274)=12,DAY(A274)&gt;=20),AND(MONTH(A274)=1,DAY(A274)&lt;=2)),"Weihnachten",IF(OR(AND(MONTH(A274)=11,DAY(A274)&gt;=24),AND(MONTH(A274)=12,DAY(A274)&lt;=7)),"Betriebsferien",IF(OR(AND(MONTH(A274)=1,DAY(A274)&gt;=3),MONTH(A274)=2,MONTH(A274)=3,MONTH(A274)=4,MONTH(A274)=10,MONTH(A274)=11,AND(MONTH(A274)=12,DAY(A274)&lt;=15)),"Nebensaison","Hauptsaison"))))</x:f>
        <x:v>Hauptsaison</x:v>
      </x:c>
      <x:c r="C274" s="122" t="str">
        <x:f>IF(A274="","",IF(WEEKDAY(A274,2)&gt;=6,"Wochenende","Unterwoche"))</x:f>
        <x:v>Wochenende</x:v>
      </x:c>
      <x:c r="D274" s="123" t="n">
        <x:f>IF(A274="","",IF(N274&lt;&gt;"",N274,IF(B274="Nebensaison",IF(C274="Wochenende",'00_Eingabe'!$C$24,'00_Eingabe'!$B$24),IF(B274="Hauptsaison",IF(C274="Wochenende",'00_Eingabe'!$C$25,'00_Eingabe'!$B$25),IF(B274="Weihnachten",IF(C274="Wochenende",'00_Eingabe'!$C$26,'00_Eingabe'!$B$26),IF(C274="Wochenende",'00_Eingabe'!$C$27,'00_Eingabe'!$B$27))))))</x:f>
        <x:v>0.9</x:v>
      </x:c>
      <x:c r="E274" s="122" t="n">
        <x:f>IF(OR(A274="",D274=""),"",ROUND('00_Eingabe'!$B$8*D274,0))</x:f>
        <x:v>32</x:v>
      </x:c>
      <x:c r="F274" s="122" t="n">
        <x:f>IF(E274="","",ROUND(E274*'00_Eingabe'!$B$18,0))</x:f>
        <x:v>61</x:v>
      </x:c>
      <x:c r="G274" s="123" t="n">
        <x:f>IF(A274="","",IF(O274&lt;&gt;"",O274,IF(B274="Nebensaison",IF(C274="Wochenende",'00_Eingabe'!$E$24,'00_Eingabe'!$D$24),IF(B274="Hauptsaison",IF(C274="Wochenende",'00_Eingabe'!$E$25,'00_Eingabe'!$D$25),IF(B274="Weihnachten",IF(C274="Wochenende",'00_Eingabe'!$E$26,'00_Eingabe'!$D$26),IF(C274="Wochenende",'00_Eingabe'!$E$27,'00_Eingabe'!$D$27))))))</x:f>
        <x:v>0.9</x:v>
      </x:c>
      <x:c r="H274" s="122" t="n">
        <x:f>IF(OR(A274="",G274=""),"",ROUND('00_Eingabe'!$B$9*G274,0))</x:f>
        <x:v>4</x:v>
      </x:c>
      <x:c r="I274" s="122" t="n">
        <x:f>IF(H274="","",ROUND(H274*'00_Eingabe'!$B$19,0))</x:f>
        <x:v>9</x:v>
      </x:c>
      <x:c r="J274" s="122" t="n">
        <x:f>IF(OR(F274="",I274=""),"",F274+I274)</x:f>
        <x:v>70</x:v>
      </x:c>
      <x:c r="K274" s="122" t="n">
        <x:f>IF(J274="","",ROUND(J274*'00_Eingabe'!$B$16*(1+'00_Eingabe'!$B$14),0))</x:f>
        <x:v>81</x:v>
      </x:c>
      <x:c r="L274" s="122" t="n">
        <x:f>IF(B274="Betriebsferien",0,ROUND(J274*'00_Eingabe'!$B$40,0)+IF(C274="Wochenende",'00_Eingabe'!$B$42,'00_Eingabe'!$B$41))</x:f>
        <x:v>93</x:v>
      </x:c>
      <x:c r="M274" s="123" t="n">
        <x:f>IF(J274="","",ROUND(J274*'00_Eingabe'!$B$17*(1+'00_Eingabe'!$B$15),0))</x:f>
        <x:v>81</x:v>
      </x:c>
      <x:c r="N274" s="106"/>
      <x:c r="O274" s="106"/>
      <x:c r="P274" s="116"/>
      <x:c r="Q274" s="213" t="n">
        <x:f>IF(C274="Wochenende",1,0)</x:f>
        <x:v>1</x:v>
      </x:c>
      <x:c r="R274" s="213" t="n">
        <x:f>IF(AND(B274&lt;&gt;"Betriebsferien",OR(WEEKDAY(A274,2)=2,WEEKDAY(A274,2)=4)),1,0)</x:f>
        <x:v>0</x:v>
      </x:c>
      <x:c r="S274" s="214" t="n">
        <x:f>R274*MIN(1,'00_Eingabe'!$B$62/'00_Eingabe'!$B$61)</x:f>
        <x:v>0</x:v>
      </x:c>
      <x:c r="T274" s="213" t="n">
        <x:f>IF(B274="Betriebsferien",0,IF(B274="Nebensaison",IF(OR(WEEKDAY(A274,2)=1,WEEKDAY(A274,2)=3,WEEKDAY(A274,2)=5),1,0),IF(C274="Unterwoche",1,0)))</x:f>
        <x:v>0</x:v>
      </x:c>
      <x:c r="U274" s="213" t="n">
        <x:f>IF(B274="Betriebsferien",0,'00_Eingabe'!$G$24)</x:f>
        <x:v>8</x:v>
      </x:c>
    </x:row>
    <x:row r="275">
      <x:c r="A275" s="121" t="n">
        <x:f>IF(ROW()-4&lt;DATE('00_Eingabe'!$B$7+1,1,1)-DATE('00_Eingabe'!$B$7,1,1),DATE('00_Eingabe'!$B$7,1,1)+ROW()-4,"")</x:f>
        <x:v>45929</x:v>
      </x:c>
      <x:c r="B275" s="122" t="str">
        <x:f>IF(A275="","",IF(OR(AND(MONTH(A275)=12,DAY(A275)&gt;=20),AND(MONTH(A275)=1,DAY(A275)&lt;=2)),"Weihnachten",IF(OR(AND(MONTH(A275)=11,DAY(A275)&gt;=24),AND(MONTH(A275)=12,DAY(A275)&lt;=7)),"Betriebsferien",IF(OR(AND(MONTH(A275)=1,DAY(A275)&gt;=3),MONTH(A275)=2,MONTH(A275)=3,MONTH(A275)=4,MONTH(A275)=10,MONTH(A275)=11,AND(MONTH(A275)=12,DAY(A275)&lt;=15)),"Nebensaison","Hauptsaison"))))</x:f>
        <x:v>Hauptsaison</x:v>
      </x:c>
      <x:c r="C275" s="122" t="str">
        <x:f>IF(A275="","",IF(WEEKDAY(A275,2)&gt;=6,"Wochenende","Unterwoche"))</x:f>
        <x:v>Unterwoche</x:v>
      </x:c>
      <x:c r="D275" s="123" t="n">
        <x:f>IF(A275="","",IF(N275&lt;&gt;"",N275,IF(B275="Nebensaison",IF(C275="Wochenende",'00_Eingabe'!$C$24,'00_Eingabe'!$B$24),IF(B275="Hauptsaison",IF(C275="Wochenende",'00_Eingabe'!$C$25,'00_Eingabe'!$B$25),IF(B275="Weihnachten",IF(C275="Wochenende",'00_Eingabe'!$C$26,'00_Eingabe'!$B$26),IF(C275="Wochenende",'00_Eingabe'!$C$27,'00_Eingabe'!$B$27))))))</x:f>
        <x:v>0.85</x:v>
      </x:c>
      <x:c r="E275" s="122" t="n">
        <x:f>IF(OR(A275="",D275=""),"",ROUND('00_Eingabe'!$B$8*D275,0))</x:f>
        <x:v>30</x:v>
      </x:c>
      <x:c r="F275" s="122" t="n">
        <x:f>IF(E275="","",ROUND(E275*'00_Eingabe'!$B$18,0))</x:f>
        <x:v>57</x:v>
      </x:c>
      <x:c r="G275" s="123" t="n">
        <x:f>IF(A275="","",IF(O275&lt;&gt;"",O275,IF(B275="Nebensaison",IF(C275="Wochenende",'00_Eingabe'!$E$24,'00_Eingabe'!$D$24),IF(B275="Hauptsaison",IF(C275="Wochenende",'00_Eingabe'!$E$25,'00_Eingabe'!$D$25),IF(B275="Weihnachten",IF(C275="Wochenende",'00_Eingabe'!$E$26,'00_Eingabe'!$D$26),IF(C275="Wochenende",'00_Eingabe'!$E$27,'00_Eingabe'!$D$27))))))</x:f>
        <x:v>0.85</x:v>
      </x:c>
      <x:c r="H275" s="122" t="n">
        <x:f>IF(OR(A275="",G275=""),"",ROUND('00_Eingabe'!$B$9*G275,0))</x:f>
        <x:v>3</x:v>
      </x:c>
      <x:c r="I275" s="122" t="n">
        <x:f>IF(H275="","",ROUND(H275*'00_Eingabe'!$B$19,0))</x:f>
        <x:v>7</x:v>
      </x:c>
      <x:c r="J275" s="122" t="n">
        <x:f>IF(OR(F275="",I275=""),"",F275+I275)</x:f>
        <x:v>64</x:v>
      </x:c>
      <x:c r="K275" s="122" t="n">
        <x:f>IF(J275="","",ROUND(J275*'00_Eingabe'!$B$16*(1+'00_Eingabe'!$B$14),0))</x:f>
        <x:v>74</x:v>
      </x:c>
      <x:c r="L275" s="122" t="n">
        <x:f>IF(B275="Betriebsferien",0,ROUND(J275*'00_Eingabe'!$B$40,0)+IF(C275="Wochenende",'00_Eingabe'!$B$42,'00_Eingabe'!$B$41))</x:f>
        <x:v>63</x:v>
      </x:c>
      <x:c r="M275" s="123" t="n">
        <x:f>IF(J275="","",ROUND(J275*'00_Eingabe'!$B$17*(1+'00_Eingabe'!$B$15),0))</x:f>
        <x:v>74</x:v>
      </x:c>
      <x:c r="N275" s="106"/>
      <x:c r="O275" s="106"/>
      <x:c r="P275" s="116"/>
      <x:c r="Q275" s="213" t="n">
        <x:f>IF(C275="Wochenende",1,0)</x:f>
        <x:v>0</x:v>
      </x:c>
      <x:c r="R275" s="213" t="n">
        <x:f>IF(AND(B275&lt;&gt;"Betriebsferien",OR(WEEKDAY(A275,2)=2,WEEKDAY(A275,2)=4)),1,0)</x:f>
        <x:v>0</x:v>
      </x:c>
      <x:c r="S275" s="214" t="n">
        <x:f>R275*MIN(1,'00_Eingabe'!$B$62/'00_Eingabe'!$B$61)</x:f>
        <x:v>0</x:v>
      </x:c>
      <x:c r="T275" s="213" t="n">
        <x:f>IF(B275="Betriebsferien",0,IF(B275="Nebensaison",IF(OR(WEEKDAY(A275,2)=1,WEEKDAY(A275,2)=3,WEEKDAY(A275,2)=5),1,0),IF(C275="Unterwoche",1,0)))</x:f>
        <x:v>1</x:v>
      </x:c>
      <x:c r="U275" s="213" t="n">
        <x:f>IF(B275="Betriebsferien",0,'00_Eingabe'!$G$24)</x:f>
        <x:v>8</x:v>
      </x:c>
    </x:row>
    <x:row r="276">
      <x:c r="A276" s="121" t="n">
        <x:f>IF(ROW()-4&lt;DATE('00_Eingabe'!$B$7+1,1,1)-DATE('00_Eingabe'!$B$7,1,1),DATE('00_Eingabe'!$B$7,1,1)+ROW()-4,"")</x:f>
        <x:v>45930</x:v>
      </x:c>
      <x:c r="B276" s="122" t="str">
        <x:f>IF(A276="","",IF(OR(AND(MONTH(A276)=12,DAY(A276)&gt;=20),AND(MONTH(A276)=1,DAY(A276)&lt;=2)),"Weihnachten",IF(OR(AND(MONTH(A276)=11,DAY(A276)&gt;=24),AND(MONTH(A276)=12,DAY(A276)&lt;=7)),"Betriebsferien",IF(OR(AND(MONTH(A276)=1,DAY(A276)&gt;=3),MONTH(A276)=2,MONTH(A276)=3,MONTH(A276)=4,MONTH(A276)=10,MONTH(A276)=11,AND(MONTH(A276)=12,DAY(A276)&lt;=15)),"Nebensaison","Hauptsaison"))))</x:f>
        <x:v>Hauptsaison</x:v>
      </x:c>
      <x:c r="C276" s="122" t="str">
        <x:f>IF(A276="","",IF(WEEKDAY(A276,2)&gt;=6,"Wochenende","Unterwoche"))</x:f>
        <x:v>Unterwoche</x:v>
      </x:c>
      <x:c r="D276" s="123" t="n">
        <x:f>IF(A276="","",IF(N276&lt;&gt;"",N276,IF(B276="Nebensaison",IF(C276="Wochenende",'00_Eingabe'!$C$24,'00_Eingabe'!$B$24),IF(B276="Hauptsaison",IF(C276="Wochenende",'00_Eingabe'!$C$25,'00_Eingabe'!$B$25),IF(B276="Weihnachten",IF(C276="Wochenende",'00_Eingabe'!$C$26,'00_Eingabe'!$B$26),IF(C276="Wochenende",'00_Eingabe'!$C$27,'00_Eingabe'!$B$27))))))</x:f>
        <x:v>0.85</x:v>
      </x:c>
      <x:c r="E276" s="122" t="n">
        <x:f>IF(OR(A276="",D276=""),"",ROUND('00_Eingabe'!$B$8*D276,0))</x:f>
        <x:v>30</x:v>
      </x:c>
      <x:c r="F276" s="122" t="n">
        <x:f>IF(E276="","",ROUND(E276*'00_Eingabe'!$B$18,0))</x:f>
        <x:v>57</x:v>
      </x:c>
      <x:c r="G276" s="123" t="n">
        <x:f>IF(A276="","",IF(O276&lt;&gt;"",O276,IF(B276="Nebensaison",IF(C276="Wochenende",'00_Eingabe'!$E$24,'00_Eingabe'!$D$24),IF(B276="Hauptsaison",IF(C276="Wochenende",'00_Eingabe'!$E$25,'00_Eingabe'!$D$25),IF(B276="Weihnachten",IF(C276="Wochenende",'00_Eingabe'!$E$26,'00_Eingabe'!$D$26),IF(C276="Wochenende",'00_Eingabe'!$E$27,'00_Eingabe'!$D$27))))))</x:f>
        <x:v>0.85</x:v>
      </x:c>
      <x:c r="H276" s="122" t="n">
        <x:f>IF(OR(A276="",G276=""),"",ROUND('00_Eingabe'!$B$9*G276,0))</x:f>
        <x:v>3</x:v>
      </x:c>
      <x:c r="I276" s="122" t="n">
        <x:f>IF(H276="","",ROUND(H276*'00_Eingabe'!$B$19,0))</x:f>
        <x:v>7</x:v>
      </x:c>
      <x:c r="J276" s="122" t="n">
        <x:f>IF(OR(F276="",I276=""),"",F276+I276)</x:f>
        <x:v>64</x:v>
      </x:c>
      <x:c r="K276" s="122" t="n">
        <x:f>IF(J276="","",ROUND(J276*'00_Eingabe'!$B$16*(1+'00_Eingabe'!$B$14),0))</x:f>
        <x:v>74</x:v>
      </x:c>
      <x:c r="L276" s="122" t="n">
        <x:f>IF(B276="Betriebsferien",0,ROUND(J276*'00_Eingabe'!$B$40,0)+IF(C276="Wochenende",'00_Eingabe'!$B$42,'00_Eingabe'!$B$41))</x:f>
        <x:v>63</x:v>
      </x:c>
      <x:c r="M276" s="123" t="n">
        <x:f>IF(J276="","",ROUND(J276*'00_Eingabe'!$B$17*(1+'00_Eingabe'!$B$15),0))</x:f>
        <x:v>74</x:v>
      </x:c>
      <x:c r="N276" s="106"/>
      <x:c r="O276" s="106"/>
      <x:c r="P276" s="116"/>
      <x:c r="Q276" s="213" t="n">
        <x:f>IF(C276="Wochenende",1,0)</x:f>
        <x:v>0</x:v>
      </x:c>
      <x:c r="R276" s="213" t="n">
        <x:f>IF(AND(B276&lt;&gt;"Betriebsferien",OR(WEEKDAY(A276,2)=2,WEEKDAY(A276,2)=4)),1,0)</x:f>
        <x:v>1</x:v>
      </x:c>
      <x:c r="S276" s="214" t="n">
        <x:f>R276*MIN(1,'00_Eingabe'!$B$62/'00_Eingabe'!$B$61)</x:f>
        <x:v>0.5</x:v>
      </x:c>
      <x:c r="T276" s="213" t="n">
        <x:f>IF(B276="Betriebsferien",0,IF(B276="Nebensaison",IF(OR(WEEKDAY(A276,2)=1,WEEKDAY(A276,2)=3,WEEKDAY(A276,2)=5),1,0),IF(C276="Unterwoche",1,0)))</x:f>
        <x:v>1</x:v>
      </x:c>
      <x:c r="U276" s="213" t="n">
        <x:f>IF(B276="Betriebsferien",0,'00_Eingabe'!$G$24)</x:f>
        <x:v>8</x:v>
      </x:c>
    </x:row>
    <x:row r="277">
      <x:c r="A277" s="121" t="n">
        <x:f>IF(ROW()-4&lt;DATE('00_Eingabe'!$B$7+1,1,1)-DATE('00_Eingabe'!$B$7,1,1),DATE('00_Eingabe'!$B$7,1,1)+ROW()-4,"")</x:f>
        <x:v>45931</x:v>
      </x:c>
      <x:c r="B277" s="122" t="str">
        <x:f>IF(A277="","",IF(OR(AND(MONTH(A277)=12,DAY(A277)&gt;=20),AND(MONTH(A277)=1,DAY(A277)&lt;=2)),"Weihnachten",IF(OR(AND(MONTH(A277)=11,DAY(A277)&gt;=24),AND(MONTH(A277)=12,DAY(A277)&lt;=7)),"Betriebsferien",IF(OR(AND(MONTH(A277)=1,DAY(A277)&gt;=3),MONTH(A277)=2,MONTH(A277)=3,MONTH(A277)=4,MONTH(A277)=10,MONTH(A277)=11,AND(MONTH(A277)=12,DAY(A277)&lt;=15)),"Nebensaison","Hauptsaison"))))</x:f>
        <x:v>Nebensaison</x:v>
      </x:c>
      <x:c r="C277" s="122" t="str">
        <x:f>IF(A277="","",IF(WEEKDAY(A277,2)&gt;=6,"Wochenende","Unterwoche"))</x:f>
        <x:v>Unterwoche</x:v>
      </x:c>
      <x:c r="D277" s="123" t="n">
        <x:f>IF(A277="","",IF(N277&lt;&gt;"",N277,IF(B277="Nebensaison",IF(C277="Wochenende",'00_Eingabe'!$C$24,'00_Eingabe'!$B$24),IF(B277="Hauptsaison",IF(C277="Wochenende",'00_Eingabe'!$C$25,'00_Eingabe'!$B$25),IF(B277="Weihnachten",IF(C277="Wochenende",'00_Eingabe'!$C$26,'00_Eingabe'!$B$26),IF(C277="Wochenende",'00_Eingabe'!$C$27,'00_Eingabe'!$B$27))))))</x:f>
        <x:v>0.7</x:v>
      </x:c>
      <x:c r="E277" s="122" t="n">
        <x:f>IF(OR(A277="",D277=""),"",ROUND('00_Eingabe'!$B$8*D277,0))</x:f>
        <x:v>25</x:v>
      </x:c>
      <x:c r="F277" s="122" t="n">
        <x:f>IF(E277="","",ROUND(E277*'00_Eingabe'!$B$18,0))</x:f>
        <x:v>48</x:v>
      </x:c>
      <x:c r="G277" s="123" t="n">
        <x:f>IF(A277="","",IF(O277&lt;&gt;"",O277,IF(B277="Nebensaison",IF(C277="Wochenende",'00_Eingabe'!$E$24,'00_Eingabe'!$D$24),IF(B277="Hauptsaison",IF(C277="Wochenende",'00_Eingabe'!$E$25,'00_Eingabe'!$D$25),IF(B277="Weihnachten",IF(C277="Wochenende",'00_Eingabe'!$E$26,'00_Eingabe'!$D$26),IF(C277="Wochenende",'00_Eingabe'!$E$27,'00_Eingabe'!$D$27))))))</x:f>
        <x:v>0.7</x:v>
      </x:c>
      <x:c r="H277" s="122" t="n">
        <x:f>IF(OR(A277="",G277=""),"",ROUND('00_Eingabe'!$B$9*G277,0))</x:f>
        <x:v>3</x:v>
      </x:c>
      <x:c r="I277" s="122" t="n">
        <x:f>IF(H277="","",ROUND(H277*'00_Eingabe'!$B$19,0))</x:f>
        <x:v>7</x:v>
      </x:c>
      <x:c r="J277" s="122" t="n">
        <x:f>IF(OR(F277="",I277=""),"",F277+I277)</x:f>
        <x:v>55</x:v>
      </x:c>
      <x:c r="K277" s="122" t="n">
        <x:f>IF(J277="","",ROUND(J277*'00_Eingabe'!$B$16*(1+'00_Eingabe'!$B$14),0))</x:f>
        <x:v>63</x:v>
      </x:c>
      <x:c r="L277" s="122" t="n">
        <x:f>IF(B277="Betriebsferien",0,ROUND(J277*'00_Eingabe'!$B$40,0)+IF(C277="Wochenende",'00_Eingabe'!$B$42,'00_Eingabe'!$B$41))</x:f>
        <x:v>55</x:v>
      </x:c>
      <x:c r="M277" s="123" t="n">
        <x:f>IF(J277="","",ROUND(J277*'00_Eingabe'!$B$17*(1+'00_Eingabe'!$B$15),0))</x:f>
        <x:v>63</x:v>
      </x:c>
      <x:c r="N277" s="106"/>
      <x:c r="O277" s="106"/>
      <x:c r="P277" s="116"/>
      <x:c r="Q277" s="213" t="n">
        <x:f>IF(C277="Wochenende",1,0)</x:f>
        <x:v>0</x:v>
      </x:c>
      <x:c r="R277" s="213" t="n">
        <x:f>IF(AND(B277&lt;&gt;"Betriebsferien",OR(WEEKDAY(A277,2)=2,WEEKDAY(A277,2)=4)),1,0)</x:f>
        <x:v>0</x:v>
      </x:c>
      <x:c r="S277" s="214" t="n">
        <x:f>R277*MIN(1,'00_Eingabe'!$B$62/'00_Eingabe'!$B$61)</x:f>
        <x:v>0</x:v>
      </x:c>
      <x:c r="T277" s="213" t="n">
        <x:f>IF(B277="Betriebsferien",0,IF(B277="Nebensaison",IF(OR(WEEKDAY(A277,2)=1,WEEKDAY(A277,2)=3,WEEKDAY(A277,2)=5),1,0),IF(C277="Unterwoche",1,0)))</x:f>
        <x:v>1</x:v>
      </x:c>
      <x:c r="U277" s="213" t="n">
        <x:f>IF(B277="Betriebsferien",0,'00_Eingabe'!$G$24)</x:f>
        <x:v>8</x:v>
      </x:c>
    </x:row>
    <x:row r="278">
      <x:c r="A278" s="121" t="n">
        <x:f>IF(ROW()-4&lt;DATE('00_Eingabe'!$B$7+1,1,1)-DATE('00_Eingabe'!$B$7,1,1),DATE('00_Eingabe'!$B$7,1,1)+ROW()-4,"")</x:f>
        <x:v>45932</x:v>
      </x:c>
      <x:c r="B278" s="122" t="str">
        <x:f>IF(A278="","",IF(OR(AND(MONTH(A278)=12,DAY(A278)&gt;=20),AND(MONTH(A278)=1,DAY(A278)&lt;=2)),"Weihnachten",IF(OR(AND(MONTH(A278)=11,DAY(A278)&gt;=24),AND(MONTH(A278)=12,DAY(A278)&lt;=7)),"Betriebsferien",IF(OR(AND(MONTH(A278)=1,DAY(A278)&gt;=3),MONTH(A278)=2,MONTH(A278)=3,MONTH(A278)=4,MONTH(A278)=10,MONTH(A278)=11,AND(MONTH(A278)=12,DAY(A278)&lt;=15)),"Nebensaison","Hauptsaison"))))</x:f>
        <x:v>Nebensaison</x:v>
      </x:c>
      <x:c r="C278" s="122" t="str">
        <x:f>IF(A278="","",IF(WEEKDAY(A278,2)&gt;=6,"Wochenende","Unterwoche"))</x:f>
        <x:v>Unterwoche</x:v>
      </x:c>
      <x:c r="D278" s="123" t="n">
        <x:f>IF(A278="","",IF(N278&lt;&gt;"",N278,IF(B278="Nebensaison",IF(C278="Wochenende",'00_Eingabe'!$C$24,'00_Eingabe'!$B$24),IF(B278="Hauptsaison",IF(C278="Wochenende",'00_Eingabe'!$C$25,'00_Eingabe'!$B$25),IF(B278="Weihnachten",IF(C278="Wochenende",'00_Eingabe'!$C$26,'00_Eingabe'!$B$26),IF(C278="Wochenende",'00_Eingabe'!$C$27,'00_Eingabe'!$B$27))))))</x:f>
        <x:v>0.7</x:v>
      </x:c>
      <x:c r="E278" s="122" t="n">
        <x:f>IF(OR(A278="",D278=""),"",ROUND('00_Eingabe'!$B$8*D278,0))</x:f>
        <x:v>25</x:v>
      </x:c>
      <x:c r="F278" s="122" t="n">
        <x:f>IF(E278="","",ROUND(E278*'00_Eingabe'!$B$18,0))</x:f>
        <x:v>48</x:v>
      </x:c>
      <x:c r="G278" s="123" t="n">
        <x:f>IF(A278="","",IF(O278&lt;&gt;"",O278,IF(B278="Nebensaison",IF(C278="Wochenende",'00_Eingabe'!$E$24,'00_Eingabe'!$D$24),IF(B278="Hauptsaison",IF(C278="Wochenende",'00_Eingabe'!$E$25,'00_Eingabe'!$D$25),IF(B278="Weihnachten",IF(C278="Wochenende",'00_Eingabe'!$E$26,'00_Eingabe'!$D$26),IF(C278="Wochenende",'00_Eingabe'!$E$27,'00_Eingabe'!$D$27))))))</x:f>
        <x:v>0.7</x:v>
      </x:c>
      <x:c r="H278" s="122" t="n">
        <x:f>IF(OR(A278="",G278=""),"",ROUND('00_Eingabe'!$B$9*G278,0))</x:f>
        <x:v>3</x:v>
      </x:c>
      <x:c r="I278" s="122" t="n">
        <x:f>IF(H278="","",ROUND(H278*'00_Eingabe'!$B$19,0))</x:f>
        <x:v>7</x:v>
      </x:c>
      <x:c r="J278" s="122" t="n">
        <x:f>IF(OR(F278="",I278=""),"",F278+I278)</x:f>
        <x:v>55</x:v>
      </x:c>
      <x:c r="K278" s="122" t="n">
        <x:f>IF(J278="","",ROUND(J278*'00_Eingabe'!$B$16*(1+'00_Eingabe'!$B$14),0))</x:f>
        <x:v>63</x:v>
      </x:c>
      <x:c r="L278" s="122" t="n">
        <x:f>IF(B278="Betriebsferien",0,ROUND(J278*'00_Eingabe'!$B$40,0)+IF(C278="Wochenende",'00_Eingabe'!$B$42,'00_Eingabe'!$B$41))</x:f>
        <x:v>55</x:v>
      </x:c>
      <x:c r="M278" s="123" t="n">
        <x:f>IF(J278="","",ROUND(J278*'00_Eingabe'!$B$17*(1+'00_Eingabe'!$B$15),0))</x:f>
        <x:v>63</x:v>
      </x:c>
      <x:c r="N278" s="106"/>
      <x:c r="O278" s="106"/>
      <x:c r="P278" s="116"/>
      <x:c r="Q278" s="213" t="n">
        <x:f>IF(C278="Wochenende",1,0)</x:f>
        <x:v>0</x:v>
      </x:c>
      <x:c r="R278" s="213" t="n">
        <x:f>IF(AND(B278&lt;&gt;"Betriebsferien",OR(WEEKDAY(A278,2)=2,WEEKDAY(A278,2)=4)),1,0)</x:f>
        <x:v>1</x:v>
      </x:c>
      <x:c r="S278" s="214" t="n">
        <x:f>R278*MIN(1,'00_Eingabe'!$B$62/'00_Eingabe'!$B$61)</x:f>
        <x:v>0.5</x:v>
      </x:c>
      <x:c r="T278" s="213" t="n">
        <x:f>IF(B278="Betriebsferien",0,IF(B278="Nebensaison",IF(OR(WEEKDAY(A278,2)=1,WEEKDAY(A278,2)=3,WEEKDAY(A278,2)=5),1,0),IF(C278="Unterwoche",1,0)))</x:f>
        <x:v>0</x:v>
      </x:c>
      <x:c r="U278" s="213" t="n">
        <x:f>IF(B278="Betriebsferien",0,'00_Eingabe'!$G$24)</x:f>
        <x:v>8</x:v>
      </x:c>
    </x:row>
    <x:row r="279">
      <x:c r="A279" s="121" t="n">
        <x:f>IF(ROW()-4&lt;DATE('00_Eingabe'!$B$7+1,1,1)-DATE('00_Eingabe'!$B$7,1,1),DATE('00_Eingabe'!$B$7,1,1)+ROW()-4,"")</x:f>
        <x:v>45933</x:v>
      </x:c>
      <x:c r="B279" s="122" t="str">
        <x:f>IF(A279="","",IF(OR(AND(MONTH(A279)=12,DAY(A279)&gt;=20),AND(MONTH(A279)=1,DAY(A279)&lt;=2)),"Weihnachten",IF(OR(AND(MONTH(A279)=11,DAY(A279)&gt;=24),AND(MONTH(A279)=12,DAY(A279)&lt;=7)),"Betriebsferien",IF(OR(AND(MONTH(A279)=1,DAY(A279)&gt;=3),MONTH(A279)=2,MONTH(A279)=3,MONTH(A279)=4,MONTH(A279)=10,MONTH(A279)=11,AND(MONTH(A279)=12,DAY(A279)&lt;=15)),"Nebensaison","Hauptsaison"))))</x:f>
        <x:v>Nebensaison</x:v>
      </x:c>
      <x:c r="C279" s="122" t="str">
        <x:f>IF(A279="","",IF(WEEKDAY(A279,2)&gt;=6,"Wochenende","Unterwoche"))</x:f>
        <x:v>Unterwoche</x:v>
      </x:c>
      <x:c r="D279" s="123" t="n">
        <x:f>IF(A279="","",IF(N279&lt;&gt;"",N279,IF(B279="Nebensaison",IF(C279="Wochenende",'00_Eingabe'!$C$24,'00_Eingabe'!$B$24),IF(B279="Hauptsaison",IF(C279="Wochenende",'00_Eingabe'!$C$25,'00_Eingabe'!$B$25),IF(B279="Weihnachten",IF(C279="Wochenende",'00_Eingabe'!$C$26,'00_Eingabe'!$B$26),IF(C279="Wochenende",'00_Eingabe'!$C$27,'00_Eingabe'!$B$27))))))</x:f>
        <x:v>0.7</x:v>
      </x:c>
      <x:c r="E279" s="122" t="n">
        <x:f>IF(OR(A279="",D279=""),"",ROUND('00_Eingabe'!$B$8*D279,0))</x:f>
        <x:v>25</x:v>
      </x:c>
      <x:c r="F279" s="122" t="n">
        <x:f>IF(E279="","",ROUND(E279*'00_Eingabe'!$B$18,0))</x:f>
        <x:v>48</x:v>
      </x:c>
      <x:c r="G279" s="123" t="n">
        <x:f>IF(A279="","",IF(O279&lt;&gt;"",O279,IF(B279="Nebensaison",IF(C279="Wochenende",'00_Eingabe'!$E$24,'00_Eingabe'!$D$24),IF(B279="Hauptsaison",IF(C279="Wochenende",'00_Eingabe'!$E$25,'00_Eingabe'!$D$25),IF(B279="Weihnachten",IF(C279="Wochenende",'00_Eingabe'!$E$26,'00_Eingabe'!$D$26),IF(C279="Wochenende",'00_Eingabe'!$E$27,'00_Eingabe'!$D$27))))))</x:f>
        <x:v>0.7</x:v>
      </x:c>
      <x:c r="H279" s="122" t="n">
        <x:f>IF(OR(A279="",G279=""),"",ROUND('00_Eingabe'!$B$9*G279,0))</x:f>
        <x:v>3</x:v>
      </x:c>
      <x:c r="I279" s="122" t="n">
        <x:f>IF(H279="","",ROUND(H279*'00_Eingabe'!$B$19,0))</x:f>
        <x:v>7</x:v>
      </x:c>
      <x:c r="J279" s="122" t="n">
        <x:f>IF(OR(F279="",I279=""),"",F279+I279)</x:f>
        <x:v>55</x:v>
      </x:c>
      <x:c r="K279" s="122" t="n">
        <x:f>IF(J279="","",ROUND(J279*'00_Eingabe'!$B$16*(1+'00_Eingabe'!$B$14),0))</x:f>
        <x:v>63</x:v>
      </x:c>
      <x:c r="L279" s="122" t="n">
        <x:f>IF(B279="Betriebsferien",0,ROUND(J279*'00_Eingabe'!$B$40,0)+IF(C279="Wochenende",'00_Eingabe'!$B$42,'00_Eingabe'!$B$41))</x:f>
        <x:v>55</x:v>
      </x:c>
      <x:c r="M279" s="123" t="n">
        <x:f>IF(J279="","",ROUND(J279*'00_Eingabe'!$B$17*(1+'00_Eingabe'!$B$15),0))</x:f>
        <x:v>63</x:v>
      </x:c>
      <x:c r="N279" s="106"/>
      <x:c r="O279" s="106"/>
      <x:c r="P279" s="116"/>
      <x:c r="Q279" s="213" t="n">
        <x:f>IF(C279="Wochenende",1,0)</x:f>
        <x:v>0</x:v>
      </x:c>
      <x:c r="R279" s="213" t="n">
        <x:f>IF(AND(B279&lt;&gt;"Betriebsferien",OR(WEEKDAY(A279,2)=2,WEEKDAY(A279,2)=4)),1,0)</x:f>
        <x:v>0</x:v>
      </x:c>
      <x:c r="S279" s="214" t="n">
        <x:f>R279*MIN(1,'00_Eingabe'!$B$62/'00_Eingabe'!$B$61)</x:f>
        <x:v>0</x:v>
      </x:c>
      <x:c r="T279" s="213" t="n">
        <x:f>IF(B279="Betriebsferien",0,IF(B279="Nebensaison",IF(OR(WEEKDAY(A279,2)=1,WEEKDAY(A279,2)=3,WEEKDAY(A279,2)=5),1,0),IF(C279="Unterwoche",1,0)))</x:f>
        <x:v>1</x:v>
      </x:c>
      <x:c r="U279" s="213" t="n">
        <x:f>IF(B279="Betriebsferien",0,'00_Eingabe'!$G$24)</x:f>
        <x:v>8</x:v>
      </x:c>
    </x:row>
    <x:row r="280">
      <x:c r="A280" s="121" t="n">
        <x:f>IF(ROW()-4&lt;DATE('00_Eingabe'!$B$7+1,1,1)-DATE('00_Eingabe'!$B$7,1,1),DATE('00_Eingabe'!$B$7,1,1)+ROW()-4,"")</x:f>
        <x:v>45934</x:v>
      </x:c>
      <x:c r="B280" s="122" t="str">
        <x:f>IF(A280="","",IF(OR(AND(MONTH(A280)=12,DAY(A280)&gt;=20),AND(MONTH(A280)=1,DAY(A280)&lt;=2)),"Weihnachten",IF(OR(AND(MONTH(A280)=11,DAY(A280)&gt;=24),AND(MONTH(A280)=12,DAY(A280)&lt;=7)),"Betriebsferien",IF(OR(AND(MONTH(A280)=1,DAY(A280)&gt;=3),MONTH(A280)=2,MONTH(A280)=3,MONTH(A280)=4,MONTH(A280)=10,MONTH(A280)=11,AND(MONTH(A280)=12,DAY(A280)&lt;=15)),"Nebensaison","Hauptsaison"))))</x:f>
        <x:v>Nebensaison</x:v>
      </x:c>
      <x:c r="C280" s="122" t="str">
        <x:f>IF(A280="","",IF(WEEKDAY(A280,2)&gt;=6,"Wochenende","Unterwoche"))</x:f>
        <x:v>Wochenende</x:v>
      </x:c>
      <x:c r="D280" s="123" t="n">
        <x:f>IF(A280="","",IF(N280&lt;&gt;"",N280,IF(B280="Nebensaison",IF(C280="Wochenende",'00_Eingabe'!$C$24,'00_Eingabe'!$B$24),IF(B280="Hauptsaison",IF(C280="Wochenende",'00_Eingabe'!$C$25,'00_Eingabe'!$B$25),IF(B280="Weihnachten",IF(C280="Wochenende",'00_Eingabe'!$C$26,'00_Eingabe'!$B$26),IF(C280="Wochenende",'00_Eingabe'!$C$27,'00_Eingabe'!$B$27))))))</x:f>
        <x:v>0.75</x:v>
      </x:c>
      <x:c r="E280" s="122" t="n">
        <x:f>IF(OR(A280="",D280=""),"",ROUND('00_Eingabe'!$B$8*D280,0))</x:f>
        <x:v>26</x:v>
      </x:c>
      <x:c r="F280" s="122" t="n">
        <x:f>IF(E280="","",ROUND(E280*'00_Eingabe'!$B$18,0))</x:f>
        <x:v>49</x:v>
      </x:c>
      <x:c r="G280" s="123" t="n">
        <x:f>IF(A280="","",IF(O280&lt;&gt;"",O280,IF(B280="Nebensaison",IF(C280="Wochenende",'00_Eingabe'!$E$24,'00_Eingabe'!$D$24),IF(B280="Hauptsaison",IF(C280="Wochenende",'00_Eingabe'!$E$25,'00_Eingabe'!$D$25),IF(B280="Weihnachten",IF(C280="Wochenende",'00_Eingabe'!$E$26,'00_Eingabe'!$D$26),IF(C280="Wochenende",'00_Eingabe'!$E$27,'00_Eingabe'!$D$27))))))</x:f>
        <x:v>0.75</x:v>
      </x:c>
      <x:c r="H280" s="122" t="n">
        <x:f>IF(OR(A280="",G280=""),"",ROUND('00_Eingabe'!$B$9*G280,0))</x:f>
        <x:v>3</x:v>
      </x:c>
      <x:c r="I280" s="122" t="n">
        <x:f>IF(H280="","",ROUND(H280*'00_Eingabe'!$B$19,0))</x:f>
        <x:v>7</x:v>
      </x:c>
      <x:c r="J280" s="122" t="n">
        <x:f>IF(OR(F280="",I280=""),"",F280+I280)</x:f>
        <x:v>56</x:v>
      </x:c>
      <x:c r="K280" s="122" t="n">
        <x:f>IF(J280="","",ROUND(J280*'00_Eingabe'!$B$16*(1+'00_Eingabe'!$B$14),0))</x:f>
        <x:v>64</x:v>
      </x:c>
      <x:c r="L280" s="122" t="n">
        <x:f>IF(B280="Betriebsferien",0,ROUND(J280*'00_Eingabe'!$B$40,0)+IF(C280="Wochenende",'00_Eingabe'!$B$42,'00_Eingabe'!$B$41))</x:f>
        <x:v>80</x:v>
      </x:c>
      <x:c r="M280" s="123" t="n">
        <x:f>IF(J280="","",ROUND(J280*'00_Eingabe'!$B$17*(1+'00_Eingabe'!$B$15),0))</x:f>
        <x:v>64</x:v>
      </x:c>
      <x:c r="N280" s="106"/>
      <x:c r="O280" s="106"/>
      <x:c r="P280" s="116"/>
      <x:c r="Q280" s="213" t="n">
        <x:f>IF(C280="Wochenende",1,0)</x:f>
        <x:v>1</x:v>
      </x:c>
      <x:c r="R280" s="213" t="n">
        <x:f>IF(AND(B280&lt;&gt;"Betriebsferien",OR(WEEKDAY(A280,2)=2,WEEKDAY(A280,2)=4)),1,0)</x:f>
        <x:v>0</x:v>
      </x:c>
      <x:c r="S280" s="214" t="n">
        <x:f>R280*MIN(1,'00_Eingabe'!$B$62/'00_Eingabe'!$B$61)</x:f>
        <x:v>0</x:v>
      </x:c>
      <x:c r="T280" s="213" t="n">
        <x:f>IF(B280="Betriebsferien",0,IF(B280="Nebensaison",IF(OR(WEEKDAY(A280,2)=1,WEEKDAY(A280,2)=3,WEEKDAY(A280,2)=5),1,0),IF(C280="Unterwoche",1,0)))</x:f>
        <x:v>0</x:v>
      </x:c>
      <x:c r="U280" s="213" t="n">
        <x:f>IF(B280="Betriebsferien",0,'00_Eingabe'!$G$24)</x:f>
        <x:v>8</x:v>
      </x:c>
    </x:row>
    <x:row r="281">
      <x:c r="A281" s="121" t="n">
        <x:f>IF(ROW()-4&lt;DATE('00_Eingabe'!$B$7+1,1,1)-DATE('00_Eingabe'!$B$7,1,1),DATE('00_Eingabe'!$B$7,1,1)+ROW()-4,"")</x:f>
        <x:v>45935</x:v>
      </x:c>
      <x:c r="B281" s="122" t="str">
        <x:f>IF(A281="","",IF(OR(AND(MONTH(A281)=12,DAY(A281)&gt;=20),AND(MONTH(A281)=1,DAY(A281)&lt;=2)),"Weihnachten",IF(OR(AND(MONTH(A281)=11,DAY(A281)&gt;=24),AND(MONTH(A281)=12,DAY(A281)&lt;=7)),"Betriebsferien",IF(OR(AND(MONTH(A281)=1,DAY(A281)&gt;=3),MONTH(A281)=2,MONTH(A281)=3,MONTH(A281)=4,MONTH(A281)=10,MONTH(A281)=11,AND(MONTH(A281)=12,DAY(A281)&lt;=15)),"Nebensaison","Hauptsaison"))))</x:f>
        <x:v>Nebensaison</x:v>
      </x:c>
      <x:c r="C281" s="122" t="str">
        <x:f>IF(A281="","",IF(WEEKDAY(A281,2)&gt;=6,"Wochenende","Unterwoche"))</x:f>
        <x:v>Wochenende</x:v>
      </x:c>
      <x:c r="D281" s="123" t="n">
        <x:f>IF(A281="","",IF(N281&lt;&gt;"",N281,IF(B281="Nebensaison",IF(C281="Wochenende",'00_Eingabe'!$C$24,'00_Eingabe'!$B$24),IF(B281="Hauptsaison",IF(C281="Wochenende",'00_Eingabe'!$C$25,'00_Eingabe'!$B$25),IF(B281="Weihnachten",IF(C281="Wochenende",'00_Eingabe'!$C$26,'00_Eingabe'!$B$26),IF(C281="Wochenende",'00_Eingabe'!$C$27,'00_Eingabe'!$B$27))))))</x:f>
        <x:v>0.75</x:v>
      </x:c>
      <x:c r="E281" s="122" t="n">
        <x:f>IF(OR(A281="",D281=""),"",ROUND('00_Eingabe'!$B$8*D281,0))</x:f>
        <x:v>26</x:v>
      </x:c>
      <x:c r="F281" s="122" t="n">
        <x:f>IF(E281="","",ROUND(E281*'00_Eingabe'!$B$18,0))</x:f>
        <x:v>49</x:v>
      </x:c>
      <x:c r="G281" s="123" t="n">
        <x:f>IF(A281="","",IF(O281&lt;&gt;"",O281,IF(B281="Nebensaison",IF(C281="Wochenende",'00_Eingabe'!$E$24,'00_Eingabe'!$D$24),IF(B281="Hauptsaison",IF(C281="Wochenende",'00_Eingabe'!$E$25,'00_Eingabe'!$D$25),IF(B281="Weihnachten",IF(C281="Wochenende",'00_Eingabe'!$E$26,'00_Eingabe'!$D$26),IF(C281="Wochenende",'00_Eingabe'!$E$27,'00_Eingabe'!$D$27))))))</x:f>
        <x:v>0.75</x:v>
      </x:c>
      <x:c r="H281" s="122" t="n">
        <x:f>IF(OR(A281="",G281=""),"",ROUND('00_Eingabe'!$B$9*G281,0))</x:f>
        <x:v>3</x:v>
      </x:c>
      <x:c r="I281" s="122" t="n">
        <x:f>IF(H281="","",ROUND(H281*'00_Eingabe'!$B$19,0))</x:f>
        <x:v>7</x:v>
      </x:c>
      <x:c r="J281" s="122" t="n">
        <x:f>IF(OR(F281="",I281=""),"",F281+I281)</x:f>
        <x:v>56</x:v>
      </x:c>
      <x:c r="K281" s="122" t="n">
        <x:f>IF(J281="","",ROUND(J281*'00_Eingabe'!$B$16*(1+'00_Eingabe'!$B$14),0))</x:f>
        <x:v>64</x:v>
      </x:c>
      <x:c r="L281" s="122" t="n">
        <x:f>IF(B281="Betriebsferien",0,ROUND(J281*'00_Eingabe'!$B$40,0)+IF(C281="Wochenende",'00_Eingabe'!$B$42,'00_Eingabe'!$B$41))</x:f>
        <x:v>80</x:v>
      </x:c>
      <x:c r="M281" s="123" t="n">
        <x:f>IF(J281="","",ROUND(J281*'00_Eingabe'!$B$17*(1+'00_Eingabe'!$B$15),0))</x:f>
        <x:v>64</x:v>
      </x:c>
      <x:c r="N281" s="106"/>
      <x:c r="O281" s="106"/>
      <x:c r="P281" s="116"/>
      <x:c r="Q281" s="213" t="n">
        <x:f>IF(C281="Wochenende",1,0)</x:f>
        <x:v>1</x:v>
      </x:c>
      <x:c r="R281" s="213" t="n">
        <x:f>IF(AND(B281&lt;&gt;"Betriebsferien",OR(WEEKDAY(A281,2)=2,WEEKDAY(A281,2)=4)),1,0)</x:f>
        <x:v>0</x:v>
      </x:c>
      <x:c r="S281" s="214" t="n">
        <x:f>R281*MIN(1,'00_Eingabe'!$B$62/'00_Eingabe'!$B$61)</x:f>
        <x:v>0</x:v>
      </x:c>
      <x:c r="T281" s="213" t="n">
        <x:f>IF(B281="Betriebsferien",0,IF(B281="Nebensaison",IF(OR(WEEKDAY(A281,2)=1,WEEKDAY(A281,2)=3,WEEKDAY(A281,2)=5),1,0),IF(C281="Unterwoche",1,0)))</x:f>
        <x:v>0</x:v>
      </x:c>
      <x:c r="U281" s="213" t="n">
        <x:f>IF(B281="Betriebsferien",0,'00_Eingabe'!$G$24)</x:f>
        <x:v>8</x:v>
      </x:c>
    </x:row>
    <x:row r="282">
      <x:c r="A282" s="121" t="n">
        <x:f>IF(ROW()-4&lt;DATE('00_Eingabe'!$B$7+1,1,1)-DATE('00_Eingabe'!$B$7,1,1),DATE('00_Eingabe'!$B$7,1,1)+ROW()-4,"")</x:f>
        <x:v>45936</x:v>
      </x:c>
      <x:c r="B282" s="122" t="str">
        <x:f>IF(A282="","",IF(OR(AND(MONTH(A282)=12,DAY(A282)&gt;=20),AND(MONTH(A282)=1,DAY(A282)&lt;=2)),"Weihnachten",IF(OR(AND(MONTH(A282)=11,DAY(A282)&gt;=24),AND(MONTH(A282)=12,DAY(A282)&lt;=7)),"Betriebsferien",IF(OR(AND(MONTH(A282)=1,DAY(A282)&gt;=3),MONTH(A282)=2,MONTH(A282)=3,MONTH(A282)=4,MONTH(A282)=10,MONTH(A282)=11,AND(MONTH(A282)=12,DAY(A282)&lt;=15)),"Nebensaison","Hauptsaison"))))</x:f>
        <x:v>Nebensaison</x:v>
      </x:c>
      <x:c r="C282" s="122" t="str">
        <x:f>IF(A282="","",IF(WEEKDAY(A282,2)&gt;=6,"Wochenende","Unterwoche"))</x:f>
        <x:v>Unterwoche</x:v>
      </x:c>
      <x:c r="D282" s="123" t="n">
        <x:f>IF(A282="","",IF(N282&lt;&gt;"",N282,IF(B282="Nebensaison",IF(C282="Wochenende",'00_Eingabe'!$C$24,'00_Eingabe'!$B$24),IF(B282="Hauptsaison",IF(C282="Wochenende",'00_Eingabe'!$C$25,'00_Eingabe'!$B$25),IF(B282="Weihnachten",IF(C282="Wochenende",'00_Eingabe'!$C$26,'00_Eingabe'!$B$26),IF(C282="Wochenende",'00_Eingabe'!$C$27,'00_Eingabe'!$B$27))))))</x:f>
        <x:v>0.7</x:v>
      </x:c>
      <x:c r="E282" s="122" t="n">
        <x:f>IF(OR(A282="",D282=""),"",ROUND('00_Eingabe'!$B$8*D282,0))</x:f>
        <x:v>25</x:v>
      </x:c>
      <x:c r="F282" s="122" t="n">
        <x:f>IF(E282="","",ROUND(E282*'00_Eingabe'!$B$18,0))</x:f>
        <x:v>48</x:v>
      </x:c>
      <x:c r="G282" s="123" t="n">
        <x:f>IF(A282="","",IF(O282&lt;&gt;"",O282,IF(B282="Nebensaison",IF(C282="Wochenende",'00_Eingabe'!$E$24,'00_Eingabe'!$D$24),IF(B282="Hauptsaison",IF(C282="Wochenende",'00_Eingabe'!$E$25,'00_Eingabe'!$D$25),IF(B282="Weihnachten",IF(C282="Wochenende",'00_Eingabe'!$E$26,'00_Eingabe'!$D$26),IF(C282="Wochenende",'00_Eingabe'!$E$27,'00_Eingabe'!$D$27))))))</x:f>
        <x:v>0.7</x:v>
      </x:c>
      <x:c r="H282" s="122" t="n">
        <x:f>IF(OR(A282="",G282=""),"",ROUND('00_Eingabe'!$B$9*G282,0))</x:f>
        <x:v>3</x:v>
      </x:c>
      <x:c r="I282" s="122" t="n">
        <x:f>IF(H282="","",ROUND(H282*'00_Eingabe'!$B$19,0))</x:f>
        <x:v>7</x:v>
      </x:c>
      <x:c r="J282" s="122" t="n">
        <x:f>IF(OR(F282="",I282=""),"",F282+I282)</x:f>
        <x:v>55</x:v>
      </x:c>
      <x:c r="K282" s="122" t="n">
        <x:f>IF(J282="","",ROUND(J282*'00_Eingabe'!$B$16*(1+'00_Eingabe'!$B$14),0))</x:f>
        <x:v>63</x:v>
      </x:c>
      <x:c r="L282" s="122" t="n">
        <x:f>IF(B282="Betriebsferien",0,ROUND(J282*'00_Eingabe'!$B$40,0)+IF(C282="Wochenende",'00_Eingabe'!$B$42,'00_Eingabe'!$B$41))</x:f>
        <x:v>55</x:v>
      </x:c>
      <x:c r="M282" s="123" t="n">
        <x:f>IF(J282="","",ROUND(J282*'00_Eingabe'!$B$17*(1+'00_Eingabe'!$B$15),0))</x:f>
        <x:v>63</x:v>
      </x:c>
      <x:c r="N282" s="106"/>
      <x:c r="O282" s="106"/>
      <x:c r="P282" s="116"/>
      <x:c r="Q282" s="213" t="n">
        <x:f>IF(C282="Wochenende",1,0)</x:f>
        <x:v>0</x:v>
      </x:c>
      <x:c r="R282" s="213" t="n">
        <x:f>IF(AND(B282&lt;&gt;"Betriebsferien",OR(WEEKDAY(A282,2)=2,WEEKDAY(A282,2)=4)),1,0)</x:f>
        <x:v>0</x:v>
      </x:c>
      <x:c r="S282" s="214" t="n">
        <x:f>R282*MIN(1,'00_Eingabe'!$B$62/'00_Eingabe'!$B$61)</x:f>
        <x:v>0</x:v>
      </x:c>
      <x:c r="T282" s="213" t="n">
        <x:f>IF(B282="Betriebsferien",0,IF(B282="Nebensaison",IF(OR(WEEKDAY(A282,2)=1,WEEKDAY(A282,2)=3,WEEKDAY(A282,2)=5),1,0),IF(C282="Unterwoche",1,0)))</x:f>
        <x:v>1</x:v>
      </x:c>
      <x:c r="U282" s="213" t="n">
        <x:f>IF(B282="Betriebsferien",0,'00_Eingabe'!$G$24)</x:f>
        <x:v>8</x:v>
      </x:c>
    </x:row>
    <x:row r="283">
      <x:c r="A283" s="121" t="n">
        <x:f>IF(ROW()-4&lt;DATE('00_Eingabe'!$B$7+1,1,1)-DATE('00_Eingabe'!$B$7,1,1),DATE('00_Eingabe'!$B$7,1,1)+ROW()-4,"")</x:f>
        <x:v>45937</x:v>
      </x:c>
      <x:c r="B283" s="122" t="str">
        <x:f>IF(A283="","",IF(OR(AND(MONTH(A283)=12,DAY(A283)&gt;=20),AND(MONTH(A283)=1,DAY(A283)&lt;=2)),"Weihnachten",IF(OR(AND(MONTH(A283)=11,DAY(A283)&gt;=24),AND(MONTH(A283)=12,DAY(A283)&lt;=7)),"Betriebsferien",IF(OR(AND(MONTH(A283)=1,DAY(A283)&gt;=3),MONTH(A283)=2,MONTH(A283)=3,MONTH(A283)=4,MONTH(A283)=10,MONTH(A283)=11,AND(MONTH(A283)=12,DAY(A283)&lt;=15)),"Nebensaison","Hauptsaison"))))</x:f>
        <x:v>Nebensaison</x:v>
      </x:c>
      <x:c r="C283" s="122" t="str">
        <x:f>IF(A283="","",IF(WEEKDAY(A283,2)&gt;=6,"Wochenende","Unterwoche"))</x:f>
        <x:v>Unterwoche</x:v>
      </x:c>
      <x:c r="D283" s="123" t="n">
        <x:f>IF(A283="","",IF(N283&lt;&gt;"",N283,IF(B283="Nebensaison",IF(C283="Wochenende",'00_Eingabe'!$C$24,'00_Eingabe'!$B$24),IF(B283="Hauptsaison",IF(C283="Wochenende",'00_Eingabe'!$C$25,'00_Eingabe'!$B$25),IF(B283="Weihnachten",IF(C283="Wochenende",'00_Eingabe'!$C$26,'00_Eingabe'!$B$26),IF(C283="Wochenende",'00_Eingabe'!$C$27,'00_Eingabe'!$B$27))))))</x:f>
        <x:v>0.7</x:v>
      </x:c>
      <x:c r="E283" s="122" t="n">
        <x:f>IF(OR(A283="",D283=""),"",ROUND('00_Eingabe'!$B$8*D283,0))</x:f>
        <x:v>25</x:v>
      </x:c>
      <x:c r="F283" s="122" t="n">
        <x:f>IF(E283="","",ROUND(E283*'00_Eingabe'!$B$18,0))</x:f>
        <x:v>48</x:v>
      </x:c>
      <x:c r="G283" s="123" t="n">
        <x:f>IF(A283="","",IF(O283&lt;&gt;"",O283,IF(B283="Nebensaison",IF(C283="Wochenende",'00_Eingabe'!$E$24,'00_Eingabe'!$D$24),IF(B283="Hauptsaison",IF(C283="Wochenende",'00_Eingabe'!$E$25,'00_Eingabe'!$D$25),IF(B283="Weihnachten",IF(C283="Wochenende",'00_Eingabe'!$E$26,'00_Eingabe'!$D$26),IF(C283="Wochenende",'00_Eingabe'!$E$27,'00_Eingabe'!$D$27))))))</x:f>
        <x:v>0.7</x:v>
      </x:c>
      <x:c r="H283" s="122" t="n">
        <x:f>IF(OR(A283="",G283=""),"",ROUND('00_Eingabe'!$B$9*G283,0))</x:f>
        <x:v>3</x:v>
      </x:c>
      <x:c r="I283" s="122" t="n">
        <x:f>IF(H283="","",ROUND(H283*'00_Eingabe'!$B$19,0))</x:f>
        <x:v>7</x:v>
      </x:c>
      <x:c r="J283" s="122" t="n">
        <x:f>IF(OR(F283="",I283=""),"",F283+I283)</x:f>
        <x:v>55</x:v>
      </x:c>
      <x:c r="K283" s="122" t="n">
        <x:f>IF(J283="","",ROUND(J283*'00_Eingabe'!$B$16*(1+'00_Eingabe'!$B$14),0))</x:f>
        <x:v>63</x:v>
      </x:c>
      <x:c r="L283" s="122" t="n">
        <x:f>IF(B283="Betriebsferien",0,ROUND(J283*'00_Eingabe'!$B$40,0)+IF(C283="Wochenende",'00_Eingabe'!$B$42,'00_Eingabe'!$B$41))</x:f>
        <x:v>55</x:v>
      </x:c>
      <x:c r="M283" s="123" t="n">
        <x:f>IF(J283="","",ROUND(J283*'00_Eingabe'!$B$17*(1+'00_Eingabe'!$B$15),0))</x:f>
        <x:v>63</x:v>
      </x:c>
      <x:c r="N283" s="106"/>
      <x:c r="O283" s="106"/>
      <x:c r="P283" s="116"/>
      <x:c r="Q283" s="213" t="n">
        <x:f>IF(C283="Wochenende",1,0)</x:f>
        <x:v>0</x:v>
      </x:c>
      <x:c r="R283" s="213" t="n">
        <x:f>IF(AND(B283&lt;&gt;"Betriebsferien",OR(WEEKDAY(A283,2)=2,WEEKDAY(A283,2)=4)),1,0)</x:f>
        <x:v>1</x:v>
      </x:c>
      <x:c r="S283" s="214" t="n">
        <x:f>R283*MIN(1,'00_Eingabe'!$B$62/'00_Eingabe'!$B$61)</x:f>
        <x:v>0.5</x:v>
      </x:c>
      <x:c r="T283" s="213" t="n">
        <x:f>IF(B283="Betriebsferien",0,IF(B283="Nebensaison",IF(OR(WEEKDAY(A283,2)=1,WEEKDAY(A283,2)=3,WEEKDAY(A283,2)=5),1,0),IF(C283="Unterwoche",1,0)))</x:f>
        <x:v>0</x:v>
      </x:c>
      <x:c r="U283" s="213" t="n">
        <x:f>IF(B283="Betriebsferien",0,'00_Eingabe'!$G$24)</x:f>
        <x:v>8</x:v>
      </x:c>
    </x:row>
    <x:row r="284">
      <x:c r="A284" s="121" t="n">
        <x:f>IF(ROW()-4&lt;DATE('00_Eingabe'!$B$7+1,1,1)-DATE('00_Eingabe'!$B$7,1,1),DATE('00_Eingabe'!$B$7,1,1)+ROW()-4,"")</x:f>
        <x:v>45938</x:v>
      </x:c>
      <x:c r="B284" s="122" t="str">
        <x:f>IF(A284="","",IF(OR(AND(MONTH(A284)=12,DAY(A284)&gt;=20),AND(MONTH(A284)=1,DAY(A284)&lt;=2)),"Weihnachten",IF(OR(AND(MONTH(A284)=11,DAY(A284)&gt;=24),AND(MONTH(A284)=12,DAY(A284)&lt;=7)),"Betriebsferien",IF(OR(AND(MONTH(A284)=1,DAY(A284)&gt;=3),MONTH(A284)=2,MONTH(A284)=3,MONTH(A284)=4,MONTH(A284)=10,MONTH(A284)=11,AND(MONTH(A284)=12,DAY(A284)&lt;=15)),"Nebensaison","Hauptsaison"))))</x:f>
        <x:v>Nebensaison</x:v>
      </x:c>
      <x:c r="C284" s="122" t="str">
        <x:f>IF(A284="","",IF(WEEKDAY(A284,2)&gt;=6,"Wochenende","Unterwoche"))</x:f>
        <x:v>Unterwoche</x:v>
      </x:c>
      <x:c r="D284" s="123" t="n">
        <x:f>IF(A284="","",IF(N284&lt;&gt;"",N284,IF(B284="Nebensaison",IF(C284="Wochenende",'00_Eingabe'!$C$24,'00_Eingabe'!$B$24),IF(B284="Hauptsaison",IF(C284="Wochenende",'00_Eingabe'!$C$25,'00_Eingabe'!$B$25),IF(B284="Weihnachten",IF(C284="Wochenende",'00_Eingabe'!$C$26,'00_Eingabe'!$B$26),IF(C284="Wochenende",'00_Eingabe'!$C$27,'00_Eingabe'!$B$27))))))</x:f>
        <x:v>0.7</x:v>
      </x:c>
      <x:c r="E284" s="122" t="n">
        <x:f>IF(OR(A284="",D284=""),"",ROUND('00_Eingabe'!$B$8*D284,0))</x:f>
        <x:v>25</x:v>
      </x:c>
      <x:c r="F284" s="122" t="n">
        <x:f>IF(E284="","",ROUND(E284*'00_Eingabe'!$B$18,0))</x:f>
        <x:v>48</x:v>
      </x:c>
      <x:c r="G284" s="123" t="n">
        <x:f>IF(A284="","",IF(O284&lt;&gt;"",O284,IF(B284="Nebensaison",IF(C284="Wochenende",'00_Eingabe'!$E$24,'00_Eingabe'!$D$24),IF(B284="Hauptsaison",IF(C284="Wochenende",'00_Eingabe'!$E$25,'00_Eingabe'!$D$25),IF(B284="Weihnachten",IF(C284="Wochenende",'00_Eingabe'!$E$26,'00_Eingabe'!$D$26),IF(C284="Wochenende",'00_Eingabe'!$E$27,'00_Eingabe'!$D$27))))))</x:f>
        <x:v>0.7</x:v>
      </x:c>
      <x:c r="H284" s="122" t="n">
        <x:f>IF(OR(A284="",G284=""),"",ROUND('00_Eingabe'!$B$9*G284,0))</x:f>
        <x:v>3</x:v>
      </x:c>
      <x:c r="I284" s="122" t="n">
        <x:f>IF(H284="","",ROUND(H284*'00_Eingabe'!$B$19,0))</x:f>
        <x:v>7</x:v>
      </x:c>
      <x:c r="J284" s="122" t="n">
        <x:f>IF(OR(F284="",I284=""),"",F284+I284)</x:f>
        <x:v>55</x:v>
      </x:c>
      <x:c r="K284" s="122" t="n">
        <x:f>IF(J284="","",ROUND(J284*'00_Eingabe'!$B$16*(1+'00_Eingabe'!$B$14),0))</x:f>
        <x:v>63</x:v>
      </x:c>
      <x:c r="L284" s="122" t="n">
        <x:f>IF(B284="Betriebsferien",0,ROUND(J284*'00_Eingabe'!$B$40,0)+IF(C284="Wochenende",'00_Eingabe'!$B$42,'00_Eingabe'!$B$41))</x:f>
        <x:v>55</x:v>
      </x:c>
      <x:c r="M284" s="123" t="n">
        <x:f>IF(J284="","",ROUND(J284*'00_Eingabe'!$B$17*(1+'00_Eingabe'!$B$15),0))</x:f>
        <x:v>63</x:v>
      </x:c>
      <x:c r="N284" s="106"/>
      <x:c r="O284" s="106"/>
      <x:c r="P284" s="116"/>
      <x:c r="Q284" s="213" t="n">
        <x:f>IF(C284="Wochenende",1,0)</x:f>
        <x:v>0</x:v>
      </x:c>
      <x:c r="R284" s="213" t="n">
        <x:f>IF(AND(B284&lt;&gt;"Betriebsferien",OR(WEEKDAY(A284,2)=2,WEEKDAY(A284,2)=4)),1,0)</x:f>
        <x:v>0</x:v>
      </x:c>
      <x:c r="S284" s="214" t="n">
        <x:f>R284*MIN(1,'00_Eingabe'!$B$62/'00_Eingabe'!$B$61)</x:f>
        <x:v>0</x:v>
      </x:c>
      <x:c r="T284" s="213" t="n">
        <x:f>IF(B284="Betriebsferien",0,IF(B284="Nebensaison",IF(OR(WEEKDAY(A284,2)=1,WEEKDAY(A284,2)=3,WEEKDAY(A284,2)=5),1,0),IF(C284="Unterwoche",1,0)))</x:f>
        <x:v>1</x:v>
      </x:c>
      <x:c r="U284" s="213" t="n">
        <x:f>IF(B284="Betriebsferien",0,'00_Eingabe'!$G$24)</x:f>
        <x:v>8</x:v>
      </x:c>
    </x:row>
    <x:row r="285">
      <x:c r="A285" s="121" t="n">
        <x:f>IF(ROW()-4&lt;DATE('00_Eingabe'!$B$7+1,1,1)-DATE('00_Eingabe'!$B$7,1,1),DATE('00_Eingabe'!$B$7,1,1)+ROW()-4,"")</x:f>
        <x:v>45939</x:v>
      </x:c>
      <x:c r="B285" s="122" t="str">
        <x:f>IF(A285="","",IF(OR(AND(MONTH(A285)=12,DAY(A285)&gt;=20),AND(MONTH(A285)=1,DAY(A285)&lt;=2)),"Weihnachten",IF(OR(AND(MONTH(A285)=11,DAY(A285)&gt;=24),AND(MONTH(A285)=12,DAY(A285)&lt;=7)),"Betriebsferien",IF(OR(AND(MONTH(A285)=1,DAY(A285)&gt;=3),MONTH(A285)=2,MONTH(A285)=3,MONTH(A285)=4,MONTH(A285)=10,MONTH(A285)=11,AND(MONTH(A285)=12,DAY(A285)&lt;=15)),"Nebensaison","Hauptsaison"))))</x:f>
        <x:v>Nebensaison</x:v>
      </x:c>
      <x:c r="C285" s="122" t="str">
        <x:f>IF(A285="","",IF(WEEKDAY(A285,2)&gt;=6,"Wochenende","Unterwoche"))</x:f>
        <x:v>Unterwoche</x:v>
      </x:c>
      <x:c r="D285" s="123" t="n">
        <x:f>IF(A285="","",IF(N285&lt;&gt;"",N285,IF(B285="Nebensaison",IF(C285="Wochenende",'00_Eingabe'!$C$24,'00_Eingabe'!$B$24),IF(B285="Hauptsaison",IF(C285="Wochenende",'00_Eingabe'!$C$25,'00_Eingabe'!$B$25),IF(B285="Weihnachten",IF(C285="Wochenende",'00_Eingabe'!$C$26,'00_Eingabe'!$B$26),IF(C285="Wochenende",'00_Eingabe'!$C$27,'00_Eingabe'!$B$27))))))</x:f>
        <x:v>0.7</x:v>
      </x:c>
      <x:c r="E285" s="122" t="n">
        <x:f>IF(OR(A285="",D285=""),"",ROUND('00_Eingabe'!$B$8*D285,0))</x:f>
        <x:v>25</x:v>
      </x:c>
      <x:c r="F285" s="122" t="n">
        <x:f>IF(E285="","",ROUND(E285*'00_Eingabe'!$B$18,0))</x:f>
        <x:v>48</x:v>
      </x:c>
      <x:c r="G285" s="123" t="n">
        <x:f>IF(A285="","",IF(O285&lt;&gt;"",O285,IF(B285="Nebensaison",IF(C285="Wochenende",'00_Eingabe'!$E$24,'00_Eingabe'!$D$24),IF(B285="Hauptsaison",IF(C285="Wochenende",'00_Eingabe'!$E$25,'00_Eingabe'!$D$25),IF(B285="Weihnachten",IF(C285="Wochenende",'00_Eingabe'!$E$26,'00_Eingabe'!$D$26),IF(C285="Wochenende",'00_Eingabe'!$E$27,'00_Eingabe'!$D$27))))))</x:f>
        <x:v>0.7</x:v>
      </x:c>
      <x:c r="H285" s="122" t="n">
        <x:f>IF(OR(A285="",G285=""),"",ROUND('00_Eingabe'!$B$9*G285,0))</x:f>
        <x:v>3</x:v>
      </x:c>
      <x:c r="I285" s="122" t="n">
        <x:f>IF(H285="","",ROUND(H285*'00_Eingabe'!$B$19,0))</x:f>
        <x:v>7</x:v>
      </x:c>
      <x:c r="J285" s="122" t="n">
        <x:f>IF(OR(F285="",I285=""),"",F285+I285)</x:f>
        <x:v>55</x:v>
      </x:c>
      <x:c r="K285" s="122" t="n">
        <x:f>IF(J285="","",ROUND(J285*'00_Eingabe'!$B$16*(1+'00_Eingabe'!$B$14),0))</x:f>
        <x:v>63</x:v>
      </x:c>
      <x:c r="L285" s="122" t="n">
        <x:f>IF(B285="Betriebsferien",0,ROUND(J285*'00_Eingabe'!$B$40,0)+IF(C285="Wochenende",'00_Eingabe'!$B$42,'00_Eingabe'!$B$41))</x:f>
        <x:v>55</x:v>
      </x:c>
      <x:c r="M285" s="123" t="n">
        <x:f>IF(J285="","",ROUND(J285*'00_Eingabe'!$B$17*(1+'00_Eingabe'!$B$15),0))</x:f>
        <x:v>63</x:v>
      </x:c>
      <x:c r="N285" s="106"/>
      <x:c r="O285" s="106"/>
      <x:c r="P285" s="116"/>
      <x:c r="Q285" s="213" t="n">
        <x:f>IF(C285="Wochenende",1,0)</x:f>
        <x:v>0</x:v>
      </x:c>
      <x:c r="R285" s="213" t="n">
        <x:f>IF(AND(B285&lt;&gt;"Betriebsferien",OR(WEEKDAY(A285,2)=2,WEEKDAY(A285,2)=4)),1,0)</x:f>
        <x:v>1</x:v>
      </x:c>
      <x:c r="S285" s="214" t="n">
        <x:f>R285*MIN(1,'00_Eingabe'!$B$62/'00_Eingabe'!$B$61)</x:f>
        <x:v>0.5</x:v>
      </x:c>
      <x:c r="T285" s="213" t="n">
        <x:f>IF(B285="Betriebsferien",0,IF(B285="Nebensaison",IF(OR(WEEKDAY(A285,2)=1,WEEKDAY(A285,2)=3,WEEKDAY(A285,2)=5),1,0),IF(C285="Unterwoche",1,0)))</x:f>
        <x:v>0</x:v>
      </x:c>
      <x:c r="U285" s="213" t="n">
        <x:f>IF(B285="Betriebsferien",0,'00_Eingabe'!$G$24)</x:f>
        <x:v>8</x:v>
      </x:c>
    </x:row>
    <x:row r="286">
      <x:c r="A286" s="121" t="n">
        <x:f>IF(ROW()-4&lt;DATE('00_Eingabe'!$B$7+1,1,1)-DATE('00_Eingabe'!$B$7,1,1),DATE('00_Eingabe'!$B$7,1,1)+ROW()-4,"")</x:f>
        <x:v>45940</x:v>
      </x:c>
      <x:c r="B286" s="122" t="str">
        <x:f>IF(A286="","",IF(OR(AND(MONTH(A286)=12,DAY(A286)&gt;=20),AND(MONTH(A286)=1,DAY(A286)&lt;=2)),"Weihnachten",IF(OR(AND(MONTH(A286)=11,DAY(A286)&gt;=24),AND(MONTH(A286)=12,DAY(A286)&lt;=7)),"Betriebsferien",IF(OR(AND(MONTH(A286)=1,DAY(A286)&gt;=3),MONTH(A286)=2,MONTH(A286)=3,MONTH(A286)=4,MONTH(A286)=10,MONTH(A286)=11,AND(MONTH(A286)=12,DAY(A286)&lt;=15)),"Nebensaison","Hauptsaison"))))</x:f>
        <x:v>Nebensaison</x:v>
      </x:c>
      <x:c r="C286" s="122" t="str">
        <x:f>IF(A286="","",IF(WEEKDAY(A286,2)&gt;=6,"Wochenende","Unterwoche"))</x:f>
        <x:v>Unterwoche</x:v>
      </x:c>
      <x:c r="D286" s="123" t="n">
        <x:f>IF(A286="","",IF(N286&lt;&gt;"",N286,IF(B286="Nebensaison",IF(C286="Wochenende",'00_Eingabe'!$C$24,'00_Eingabe'!$B$24),IF(B286="Hauptsaison",IF(C286="Wochenende",'00_Eingabe'!$C$25,'00_Eingabe'!$B$25),IF(B286="Weihnachten",IF(C286="Wochenende",'00_Eingabe'!$C$26,'00_Eingabe'!$B$26),IF(C286="Wochenende",'00_Eingabe'!$C$27,'00_Eingabe'!$B$27))))))</x:f>
        <x:v>0.7</x:v>
      </x:c>
      <x:c r="E286" s="122" t="n">
        <x:f>IF(OR(A286="",D286=""),"",ROUND('00_Eingabe'!$B$8*D286,0))</x:f>
        <x:v>25</x:v>
      </x:c>
      <x:c r="F286" s="122" t="n">
        <x:f>IF(E286="","",ROUND(E286*'00_Eingabe'!$B$18,0))</x:f>
        <x:v>48</x:v>
      </x:c>
      <x:c r="G286" s="123" t="n">
        <x:f>IF(A286="","",IF(O286&lt;&gt;"",O286,IF(B286="Nebensaison",IF(C286="Wochenende",'00_Eingabe'!$E$24,'00_Eingabe'!$D$24),IF(B286="Hauptsaison",IF(C286="Wochenende",'00_Eingabe'!$E$25,'00_Eingabe'!$D$25),IF(B286="Weihnachten",IF(C286="Wochenende",'00_Eingabe'!$E$26,'00_Eingabe'!$D$26),IF(C286="Wochenende",'00_Eingabe'!$E$27,'00_Eingabe'!$D$27))))))</x:f>
        <x:v>0.7</x:v>
      </x:c>
      <x:c r="H286" s="122" t="n">
        <x:f>IF(OR(A286="",G286=""),"",ROUND('00_Eingabe'!$B$9*G286,0))</x:f>
        <x:v>3</x:v>
      </x:c>
      <x:c r="I286" s="122" t="n">
        <x:f>IF(H286="","",ROUND(H286*'00_Eingabe'!$B$19,0))</x:f>
        <x:v>7</x:v>
      </x:c>
      <x:c r="J286" s="122" t="n">
        <x:f>IF(OR(F286="",I286=""),"",F286+I286)</x:f>
        <x:v>55</x:v>
      </x:c>
      <x:c r="K286" s="122" t="n">
        <x:f>IF(J286="","",ROUND(J286*'00_Eingabe'!$B$16*(1+'00_Eingabe'!$B$14),0))</x:f>
        <x:v>63</x:v>
      </x:c>
      <x:c r="L286" s="122" t="n">
        <x:f>IF(B286="Betriebsferien",0,ROUND(J286*'00_Eingabe'!$B$40,0)+IF(C286="Wochenende",'00_Eingabe'!$B$42,'00_Eingabe'!$B$41))</x:f>
        <x:v>55</x:v>
      </x:c>
      <x:c r="M286" s="123" t="n">
        <x:f>IF(J286="","",ROUND(J286*'00_Eingabe'!$B$17*(1+'00_Eingabe'!$B$15),0))</x:f>
        <x:v>63</x:v>
      </x:c>
      <x:c r="N286" s="106"/>
      <x:c r="O286" s="106"/>
      <x:c r="P286" s="116"/>
      <x:c r="Q286" s="213" t="n">
        <x:f>IF(C286="Wochenende",1,0)</x:f>
        <x:v>0</x:v>
      </x:c>
      <x:c r="R286" s="213" t="n">
        <x:f>IF(AND(B286&lt;&gt;"Betriebsferien",OR(WEEKDAY(A286,2)=2,WEEKDAY(A286,2)=4)),1,0)</x:f>
        <x:v>0</x:v>
      </x:c>
      <x:c r="S286" s="214" t="n">
        <x:f>R286*MIN(1,'00_Eingabe'!$B$62/'00_Eingabe'!$B$61)</x:f>
        <x:v>0</x:v>
      </x:c>
      <x:c r="T286" s="213" t="n">
        <x:f>IF(B286="Betriebsferien",0,IF(B286="Nebensaison",IF(OR(WEEKDAY(A286,2)=1,WEEKDAY(A286,2)=3,WEEKDAY(A286,2)=5),1,0),IF(C286="Unterwoche",1,0)))</x:f>
        <x:v>1</x:v>
      </x:c>
      <x:c r="U286" s="213" t="n">
        <x:f>IF(B286="Betriebsferien",0,'00_Eingabe'!$G$24)</x:f>
        <x:v>8</x:v>
      </x:c>
    </x:row>
    <x:row r="287">
      <x:c r="A287" s="121" t="n">
        <x:f>IF(ROW()-4&lt;DATE('00_Eingabe'!$B$7+1,1,1)-DATE('00_Eingabe'!$B$7,1,1),DATE('00_Eingabe'!$B$7,1,1)+ROW()-4,"")</x:f>
        <x:v>45941</x:v>
      </x:c>
      <x:c r="B287" s="122" t="str">
        <x:f>IF(A287="","",IF(OR(AND(MONTH(A287)=12,DAY(A287)&gt;=20),AND(MONTH(A287)=1,DAY(A287)&lt;=2)),"Weihnachten",IF(OR(AND(MONTH(A287)=11,DAY(A287)&gt;=24),AND(MONTH(A287)=12,DAY(A287)&lt;=7)),"Betriebsferien",IF(OR(AND(MONTH(A287)=1,DAY(A287)&gt;=3),MONTH(A287)=2,MONTH(A287)=3,MONTH(A287)=4,MONTH(A287)=10,MONTH(A287)=11,AND(MONTH(A287)=12,DAY(A287)&lt;=15)),"Nebensaison","Hauptsaison"))))</x:f>
        <x:v>Nebensaison</x:v>
      </x:c>
      <x:c r="C287" s="122" t="str">
        <x:f>IF(A287="","",IF(WEEKDAY(A287,2)&gt;=6,"Wochenende","Unterwoche"))</x:f>
        <x:v>Wochenende</x:v>
      </x:c>
      <x:c r="D287" s="123" t="n">
        <x:f>IF(A287="","",IF(N287&lt;&gt;"",N287,IF(B287="Nebensaison",IF(C287="Wochenende",'00_Eingabe'!$C$24,'00_Eingabe'!$B$24),IF(B287="Hauptsaison",IF(C287="Wochenende",'00_Eingabe'!$C$25,'00_Eingabe'!$B$25),IF(B287="Weihnachten",IF(C287="Wochenende",'00_Eingabe'!$C$26,'00_Eingabe'!$B$26),IF(C287="Wochenende",'00_Eingabe'!$C$27,'00_Eingabe'!$B$27))))))</x:f>
        <x:v>0.75</x:v>
      </x:c>
      <x:c r="E287" s="122" t="n">
        <x:f>IF(OR(A287="",D287=""),"",ROUND('00_Eingabe'!$B$8*D287,0))</x:f>
        <x:v>26</x:v>
      </x:c>
      <x:c r="F287" s="122" t="n">
        <x:f>IF(E287="","",ROUND(E287*'00_Eingabe'!$B$18,0))</x:f>
        <x:v>49</x:v>
      </x:c>
      <x:c r="G287" s="123" t="n">
        <x:f>IF(A287="","",IF(O287&lt;&gt;"",O287,IF(B287="Nebensaison",IF(C287="Wochenende",'00_Eingabe'!$E$24,'00_Eingabe'!$D$24),IF(B287="Hauptsaison",IF(C287="Wochenende",'00_Eingabe'!$E$25,'00_Eingabe'!$D$25),IF(B287="Weihnachten",IF(C287="Wochenende",'00_Eingabe'!$E$26,'00_Eingabe'!$D$26),IF(C287="Wochenende",'00_Eingabe'!$E$27,'00_Eingabe'!$D$27))))))</x:f>
        <x:v>0.75</x:v>
      </x:c>
      <x:c r="H287" s="122" t="n">
        <x:f>IF(OR(A287="",G287=""),"",ROUND('00_Eingabe'!$B$9*G287,0))</x:f>
        <x:v>3</x:v>
      </x:c>
      <x:c r="I287" s="122" t="n">
        <x:f>IF(H287="","",ROUND(H287*'00_Eingabe'!$B$19,0))</x:f>
        <x:v>7</x:v>
      </x:c>
      <x:c r="J287" s="122" t="n">
        <x:f>IF(OR(F287="",I287=""),"",F287+I287)</x:f>
        <x:v>56</x:v>
      </x:c>
      <x:c r="K287" s="122" t="n">
        <x:f>IF(J287="","",ROUND(J287*'00_Eingabe'!$B$16*(1+'00_Eingabe'!$B$14),0))</x:f>
        <x:v>64</x:v>
      </x:c>
      <x:c r="L287" s="122" t="n">
        <x:f>IF(B287="Betriebsferien",0,ROUND(J287*'00_Eingabe'!$B$40,0)+IF(C287="Wochenende",'00_Eingabe'!$B$42,'00_Eingabe'!$B$41))</x:f>
        <x:v>80</x:v>
      </x:c>
      <x:c r="M287" s="123" t="n">
        <x:f>IF(J287="","",ROUND(J287*'00_Eingabe'!$B$17*(1+'00_Eingabe'!$B$15),0))</x:f>
        <x:v>64</x:v>
      </x:c>
      <x:c r="N287" s="106"/>
      <x:c r="O287" s="106"/>
      <x:c r="P287" s="116"/>
      <x:c r="Q287" s="213" t="n">
        <x:f>IF(C287="Wochenende",1,0)</x:f>
        <x:v>1</x:v>
      </x:c>
      <x:c r="R287" s="213" t="n">
        <x:f>IF(AND(B287&lt;&gt;"Betriebsferien",OR(WEEKDAY(A287,2)=2,WEEKDAY(A287,2)=4)),1,0)</x:f>
        <x:v>0</x:v>
      </x:c>
      <x:c r="S287" s="214" t="n">
        <x:f>R287*MIN(1,'00_Eingabe'!$B$62/'00_Eingabe'!$B$61)</x:f>
        <x:v>0</x:v>
      </x:c>
      <x:c r="T287" s="213" t="n">
        <x:f>IF(B287="Betriebsferien",0,IF(B287="Nebensaison",IF(OR(WEEKDAY(A287,2)=1,WEEKDAY(A287,2)=3,WEEKDAY(A287,2)=5),1,0),IF(C287="Unterwoche",1,0)))</x:f>
        <x:v>0</x:v>
      </x:c>
      <x:c r="U287" s="213" t="n">
        <x:f>IF(B287="Betriebsferien",0,'00_Eingabe'!$G$24)</x:f>
        <x:v>8</x:v>
      </x:c>
    </x:row>
    <x:row r="288">
      <x:c r="A288" s="121" t="n">
        <x:f>IF(ROW()-4&lt;DATE('00_Eingabe'!$B$7+1,1,1)-DATE('00_Eingabe'!$B$7,1,1),DATE('00_Eingabe'!$B$7,1,1)+ROW()-4,"")</x:f>
        <x:v>45942</x:v>
      </x:c>
      <x:c r="B288" s="122" t="str">
        <x:f>IF(A288="","",IF(OR(AND(MONTH(A288)=12,DAY(A288)&gt;=20),AND(MONTH(A288)=1,DAY(A288)&lt;=2)),"Weihnachten",IF(OR(AND(MONTH(A288)=11,DAY(A288)&gt;=24),AND(MONTH(A288)=12,DAY(A288)&lt;=7)),"Betriebsferien",IF(OR(AND(MONTH(A288)=1,DAY(A288)&gt;=3),MONTH(A288)=2,MONTH(A288)=3,MONTH(A288)=4,MONTH(A288)=10,MONTH(A288)=11,AND(MONTH(A288)=12,DAY(A288)&lt;=15)),"Nebensaison","Hauptsaison"))))</x:f>
        <x:v>Nebensaison</x:v>
      </x:c>
      <x:c r="C288" s="122" t="str">
        <x:f>IF(A288="","",IF(WEEKDAY(A288,2)&gt;=6,"Wochenende","Unterwoche"))</x:f>
        <x:v>Wochenende</x:v>
      </x:c>
      <x:c r="D288" s="123" t="n">
        <x:f>IF(A288="","",IF(N288&lt;&gt;"",N288,IF(B288="Nebensaison",IF(C288="Wochenende",'00_Eingabe'!$C$24,'00_Eingabe'!$B$24),IF(B288="Hauptsaison",IF(C288="Wochenende",'00_Eingabe'!$C$25,'00_Eingabe'!$B$25),IF(B288="Weihnachten",IF(C288="Wochenende",'00_Eingabe'!$C$26,'00_Eingabe'!$B$26),IF(C288="Wochenende",'00_Eingabe'!$C$27,'00_Eingabe'!$B$27))))))</x:f>
        <x:v>0.75</x:v>
      </x:c>
      <x:c r="E288" s="122" t="n">
        <x:f>IF(OR(A288="",D288=""),"",ROUND('00_Eingabe'!$B$8*D288,0))</x:f>
        <x:v>26</x:v>
      </x:c>
      <x:c r="F288" s="122" t="n">
        <x:f>IF(E288="","",ROUND(E288*'00_Eingabe'!$B$18,0))</x:f>
        <x:v>49</x:v>
      </x:c>
      <x:c r="G288" s="123" t="n">
        <x:f>IF(A288="","",IF(O288&lt;&gt;"",O288,IF(B288="Nebensaison",IF(C288="Wochenende",'00_Eingabe'!$E$24,'00_Eingabe'!$D$24),IF(B288="Hauptsaison",IF(C288="Wochenende",'00_Eingabe'!$E$25,'00_Eingabe'!$D$25),IF(B288="Weihnachten",IF(C288="Wochenende",'00_Eingabe'!$E$26,'00_Eingabe'!$D$26),IF(C288="Wochenende",'00_Eingabe'!$E$27,'00_Eingabe'!$D$27))))))</x:f>
        <x:v>0.75</x:v>
      </x:c>
      <x:c r="H288" s="122" t="n">
        <x:f>IF(OR(A288="",G288=""),"",ROUND('00_Eingabe'!$B$9*G288,0))</x:f>
        <x:v>3</x:v>
      </x:c>
      <x:c r="I288" s="122" t="n">
        <x:f>IF(H288="","",ROUND(H288*'00_Eingabe'!$B$19,0))</x:f>
        <x:v>7</x:v>
      </x:c>
      <x:c r="J288" s="122" t="n">
        <x:f>IF(OR(F288="",I288=""),"",F288+I288)</x:f>
        <x:v>56</x:v>
      </x:c>
      <x:c r="K288" s="122" t="n">
        <x:f>IF(J288="","",ROUND(J288*'00_Eingabe'!$B$16*(1+'00_Eingabe'!$B$14),0))</x:f>
        <x:v>64</x:v>
      </x:c>
      <x:c r="L288" s="122" t="n">
        <x:f>IF(B288="Betriebsferien",0,ROUND(J288*'00_Eingabe'!$B$40,0)+IF(C288="Wochenende",'00_Eingabe'!$B$42,'00_Eingabe'!$B$41))</x:f>
        <x:v>80</x:v>
      </x:c>
      <x:c r="M288" s="123" t="n">
        <x:f>IF(J288="","",ROUND(J288*'00_Eingabe'!$B$17*(1+'00_Eingabe'!$B$15),0))</x:f>
        <x:v>64</x:v>
      </x:c>
      <x:c r="N288" s="106"/>
      <x:c r="O288" s="106"/>
      <x:c r="P288" s="116"/>
      <x:c r="Q288" s="213" t="n">
        <x:f>IF(C288="Wochenende",1,0)</x:f>
        <x:v>1</x:v>
      </x:c>
      <x:c r="R288" s="213" t="n">
        <x:f>IF(AND(B288&lt;&gt;"Betriebsferien",OR(WEEKDAY(A288,2)=2,WEEKDAY(A288,2)=4)),1,0)</x:f>
        <x:v>0</x:v>
      </x:c>
      <x:c r="S288" s="214" t="n">
        <x:f>R288*MIN(1,'00_Eingabe'!$B$62/'00_Eingabe'!$B$61)</x:f>
        <x:v>0</x:v>
      </x:c>
      <x:c r="T288" s="213" t="n">
        <x:f>IF(B288="Betriebsferien",0,IF(B288="Nebensaison",IF(OR(WEEKDAY(A288,2)=1,WEEKDAY(A288,2)=3,WEEKDAY(A288,2)=5),1,0),IF(C288="Unterwoche",1,0)))</x:f>
        <x:v>0</x:v>
      </x:c>
      <x:c r="U288" s="213" t="n">
        <x:f>IF(B288="Betriebsferien",0,'00_Eingabe'!$G$24)</x:f>
        <x:v>8</x:v>
      </x:c>
    </x:row>
    <x:row r="289">
      <x:c r="A289" s="121" t="n">
        <x:f>IF(ROW()-4&lt;DATE('00_Eingabe'!$B$7+1,1,1)-DATE('00_Eingabe'!$B$7,1,1),DATE('00_Eingabe'!$B$7,1,1)+ROW()-4,"")</x:f>
        <x:v>45943</x:v>
      </x:c>
      <x:c r="B289" s="122" t="str">
        <x:f>IF(A289="","",IF(OR(AND(MONTH(A289)=12,DAY(A289)&gt;=20),AND(MONTH(A289)=1,DAY(A289)&lt;=2)),"Weihnachten",IF(OR(AND(MONTH(A289)=11,DAY(A289)&gt;=24),AND(MONTH(A289)=12,DAY(A289)&lt;=7)),"Betriebsferien",IF(OR(AND(MONTH(A289)=1,DAY(A289)&gt;=3),MONTH(A289)=2,MONTH(A289)=3,MONTH(A289)=4,MONTH(A289)=10,MONTH(A289)=11,AND(MONTH(A289)=12,DAY(A289)&lt;=15)),"Nebensaison","Hauptsaison"))))</x:f>
        <x:v>Nebensaison</x:v>
      </x:c>
      <x:c r="C289" s="122" t="str">
        <x:f>IF(A289="","",IF(WEEKDAY(A289,2)&gt;=6,"Wochenende","Unterwoche"))</x:f>
        <x:v>Unterwoche</x:v>
      </x:c>
      <x:c r="D289" s="123" t="n">
        <x:f>IF(A289="","",IF(N289&lt;&gt;"",N289,IF(B289="Nebensaison",IF(C289="Wochenende",'00_Eingabe'!$C$24,'00_Eingabe'!$B$24),IF(B289="Hauptsaison",IF(C289="Wochenende",'00_Eingabe'!$C$25,'00_Eingabe'!$B$25),IF(B289="Weihnachten",IF(C289="Wochenende",'00_Eingabe'!$C$26,'00_Eingabe'!$B$26),IF(C289="Wochenende",'00_Eingabe'!$C$27,'00_Eingabe'!$B$27))))))</x:f>
        <x:v>0.7</x:v>
      </x:c>
      <x:c r="E289" s="122" t="n">
        <x:f>IF(OR(A289="",D289=""),"",ROUND('00_Eingabe'!$B$8*D289,0))</x:f>
        <x:v>25</x:v>
      </x:c>
      <x:c r="F289" s="122" t="n">
        <x:f>IF(E289="","",ROUND(E289*'00_Eingabe'!$B$18,0))</x:f>
        <x:v>48</x:v>
      </x:c>
      <x:c r="G289" s="123" t="n">
        <x:f>IF(A289="","",IF(O289&lt;&gt;"",O289,IF(B289="Nebensaison",IF(C289="Wochenende",'00_Eingabe'!$E$24,'00_Eingabe'!$D$24),IF(B289="Hauptsaison",IF(C289="Wochenende",'00_Eingabe'!$E$25,'00_Eingabe'!$D$25),IF(B289="Weihnachten",IF(C289="Wochenende",'00_Eingabe'!$E$26,'00_Eingabe'!$D$26),IF(C289="Wochenende",'00_Eingabe'!$E$27,'00_Eingabe'!$D$27))))))</x:f>
        <x:v>0.7</x:v>
      </x:c>
      <x:c r="H289" s="122" t="n">
        <x:f>IF(OR(A289="",G289=""),"",ROUND('00_Eingabe'!$B$9*G289,0))</x:f>
        <x:v>3</x:v>
      </x:c>
      <x:c r="I289" s="122" t="n">
        <x:f>IF(H289="","",ROUND(H289*'00_Eingabe'!$B$19,0))</x:f>
        <x:v>7</x:v>
      </x:c>
      <x:c r="J289" s="122" t="n">
        <x:f>IF(OR(F289="",I289=""),"",F289+I289)</x:f>
        <x:v>55</x:v>
      </x:c>
      <x:c r="K289" s="122" t="n">
        <x:f>IF(J289="","",ROUND(J289*'00_Eingabe'!$B$16*(1+'00_Eingabe'!$B$14),0))</x:f>
        <x:v>63</x:v>
      </x:c>
      <x:c r="L289" s="122" t="n">
        <x:f>IF(B289="Betriebsferien",0,ROUND(J289*'00_Eingabe'!$B$40,0)+IF(C289="Wochenende",'00_Eingabe'!$B$42,'00_Eingabe'!$B$41))</x:f>
        <x:v>55</x:v>
      </x:c>
      <x:c r="M289" s="123" t="n">
        <x:f>IF(J289="","",ROUND(J289*'00_Eingabe'!$B$17*(1+'00_Eingabe'!$B$15),0))</x:f>
        <x:v>63</x:v>
      </x:c>
      <x:c r="N289" s="106"/>
      <x:c r="O289" s="106"/>
      <x:c r="P289" s="116"/>
      <x:c r="Q289" s="213" t="n">
        <x:f>IF(C289="Wochenende",1,0)</x:f>
        <x:v>0</x:v>
      </x:c>
      <x:c r="R289" s="213" t="n">
        <x:f>IF(AND(B289&lt;&gt;"Betriebsferien",OR(WEEKDAY(A289,2)=2,WEEKDAY(A289,2)=4)),1,0)</x:f>
        <x:v>0</x:v>
      </x:c>
      <x:c r="S289" s="214" t="n">
        <x:f>R289*MIN(1,'00_Eingabe'!$B$62/'00_Eingabe'!$B$61)</x:f>
        <x:v>0</x:v>
      </x:c>
      <x:c r="T289" s="213" t="n">
        <x:f>IF(B289="Betriebsferien",0,IF(B289="Nebensaison",IF(OR(WEEKDAY(A289,2)=1,WEEKDAY(A289,2)=3,WEEKDAY(A289,2)=5),1,0),IF(C289="Unterwoche",1,0)))</x:f>
        <x:v>1</x:v>
      </x:c>
      <x:c r="U289" s="213" t="n">
        <x:f>IF(B289="Betriebsferien",0,'00_Eingabe'!$G$24)</x:f>
        <x:v>8</x:v>
      </x:c>
    </x:row>
    <x:row r="290">
      <x:c r="A290" s="121" t="n">
        <x:f>IF(ROW()-4&lt;DATE('00_Eingabe'!$B$7+1,1,1)-DATE('00_Eingabe'!$B$7,1,1),DATE('00_Eingabe'!$B$7,1,1)+ROW()-4,"")</x:f>
        <x:v>45944</x:v>
      </x:c>
      <x:c r="B290" s="122" t="str">
        <x:f>IF(A290="","",IF(OR(AND(MONTH(A290)=12,DAY(A290)&gt;=20),AND(MONTH(A290)=1,DAY(A290)&lt;=2)),"Weihnachten",IF(OR(AND(MONTH(A290)=11,DAY(A290)&gt;=24),AND(MONTH(A290)=12,DAY(A290)&lt;=7)),"Betriebsferien",IF(OR(AND(MONTH(A290)=1,DAY(A290)&gt;=3),MONTH(A290)=2,MONTH(A290)=3,MONTH(A290)=4,MONTH(A290)=10,MONTH(A290)=11,AND(MONTH(A290)=12,DAY(A290)&lt;=15)),"Nebensaison","Hauptsaison"))))</x:f>
        <x:v>Nebensaison</x:v>
      </x:c>
      <x:c r="C290" s="122" t="str">
        <x:f>IF(A290="","",IF(WEEKDAY(A290,2)&gt;=6,"Wochenende","Unterwoche"))</x:f>
        <x:v>Unterwoche</x:v>
      </x:c>
      <x:c r="D290" s="123" t="n">
        <x:f>IF(A290="","",IF(N290&lt;&gt;"",N290,IF(B290="Nebensaison",IF(C290="Wochenende",'00_Eingabe'!$C$24,'00_Eingabe'!$B$24),IF(B290="Hauptsaison",IF(C290="Wochenende",'00_Eingabe'!$C$25,'00_Eingabe'!$B$25),IF(B290="Weihnachten",IF(C290="Wochenende",'00_Eingabe'!$C$26,'00_Eingabe'!$B$26),IF(C290="Wochenende",'00_Eingabe'!$C$27,'00_Eingabe'!$B$27))))))</x:f>
        <x:v>0.7</x:v>
      </x:c>
      <x:c r="E290" s="122" t="n">
        <x:f>IF(OR(A290="",D290=""),"",ROUND('00_Eingabe'!$B$8*D290,0))</x:f>
        <x:v>25</x:v>
      </x:c>
      <x:c r="F290" s="122" t="n">
        <x:f>IF(E290="","",ROUND(E290*'00_Eingabe'!$B$18,0))</x:f>
        <x:v>48</x:v>
      </x:c>
      <x:c r="G290" s="123" t="n">
        <x:f>IF(A290="","",IF(O290&lt;&gt;"",O290,IF(B290="Nebensaison",IF(C290="Wochenende",'00_Eingabe'!$E$24,'00_Eingabe'!$D$24),IF(B290="Hauptsaison",IF(C290="Wochenende",'00_Eingabe'!$E$25,'00_Eingabe'!$D$25),IF(B290="Weihnachten",IF(C290="Wochenende",'00_Eingabe'!$E$26,'00_Eingabe'!$D$26),IF(C290="Wochenende",'00_Eingabe'!$E$27,'00_Eingabe'!$D$27))))))</x:f>
        <x:v>0.7</x:v>
      </x:c>
      <x:c r="H290" s="122" t="n">
        <x:f>IF(OR(A290="",G290=""),"",ROUND('00_Eingabe'!$B$9*G290,0))</x:f>
        <x:v>3</x:v>
      </x:c>
      <x:c r="I290" s="122" t="n">
        <x:f>IF(H290="","",ROUND(H290*'00_Eingabe'!$B$19,0))</x:f>
        <x:v>7</x:v>
      </x:c>
      <x:c r="J290" s="122" t="n">
        <x:f>IF(OR(F290="",I290=""),"",F290+I290)</x:f>
        <x:v>55</x:v>
      </x:c>
      <x:c r="K290" s="122" t="n">
        <x:f>IF(J290="","",ROUND(J290*'00_Eingabe'!$B$16*(1+'00_Eingabe'!$B$14),0))</x:f>
        <x:v>63</x:v>
      </x:c>
      <x:c r="L290" s="122" t="n">
        <x:f>IF(B290="Betriebsferien",0,ROUND(J290*'00_Eingabe'!$B$40,0)+IF(C290="Wochenende",'00_Eingabe'!$B$42,'00_Eingabe'!$B$41))</x:f>
        <x:v>55</x:v>
      </x:c>
      <x:c r="M290" s="123" t="n">
        <x:f>IF(J290="","",ROUND(J290*'00_Eingabe'!$B$17*(1+'00_Eingabe'!$B$15),0))</x:f>
        <x:v>63</x:v>
      </x:c>
      <x:c r="N290" s="106"/>
      <x:c r="O290" s="106"/>
      <x:c r="P290" s="116"/>
      <x:c r="Q290" s="213" t="n">
        <x:f>IF(C290="Wochenende",1,0)</x:f>
        <x:v>0</x:v>
      </x:c>
      <x:c r="R290" s="213" t="n">
        <x:f>IF(AND(B290&lt;&gt;"Betriebsferien",OR(WEEKDAY(A290,2)=2,WEEKDAY(A290,2)=4)),1,0)</x:f>
        <x:v>1</x:v>
      </x:c>
      <x:c r="S290" s="214" t="n">
        <x:f>R290*MIN(1,'00_Eingabe'!$B$62/'00_Eingabe'!$B$61)</x:f>
        <x:v>0.5</x:v>
      </x:c>
      <x:c r="T290" s="213" t="n">
        <x:f>IF(B290="Betriebsferien",0,IF(B290="Nebensaison",IF(OR(WEEKDAY(A290,2)=1,WEEKDAY(A290,2)=3,WEEKDAY(A290,2)=5),1,0),IF(C290="Unterwoche",1,0)))</x:f>
        <x:v>0</x:v>
      </x:c>
      <x:c r="U290" s="213" t="n">
        <x:f>IF(B290="Betriebsferien",0,'00_Eingabe'!$G$24)</x:f>
        <x:v>8</x:v>
      </x:c>
    </x:row>
    <x:row r="291">
      <x:c r="A291" s="121" t="n">
        <x:f>IF(ROW()-4&lt;DATE('00_Eingabe'!$B$7+1,1,1)-DATE('00_Eingabe'!$B$7,1,1),DATE('00_Eingabe'!$B$7,1,1)+ROW()-4,"")</x:f>
        <x:v>45945</x:v>
      </x:c>
      <x:c r="B291" s="122" t="str">
        <x:f>IF(A291="","",IF(OR(AND(MONTH(A291)=12,DAY(A291)&gt;=20),AND(MONTH(A291)=1,DAY(A291)&lt;=2)),"Weihnachten",IF(OR(AND(MONTH(A291)=11,DAY(A291)&gt;=24),AND(MONTH(A291)=12,DAY(A291)&lt;=7)),"Betriebsferien",IF(OR(AND(MONTH(A291)=1,DAY(A291)&gt;=3),MONTH(A291)=2,MONTH(A291)=3,MONTH(A291)=4,MONTH(A291)=10,MONTH(A291)=11,AND(MONTH(A291)=12,DAY(A291)&lt;=15)),"Nebensaison","Hauptsaison"))))</x:f>
        <x:v>Nebensaison</x:v>
      </x:c>
      <x:c r="C291" s="122" t="str">
        <x:f>IF(A291="","",IF(WEEKDAY(A291,2)&gt;=6,"Wochenende","Unterwoche"))</x:f>
        <x:v>Unterwoche</x:v>
      </x:c>
      <x:c r="D291" s="123" t="n">
        <x:f>IF(A291="","",IF(N291&lt;&gt;"",N291,IF(B291="Nebensaison",IF(C291="Wochenende",'00_Eingabe'!$C$24,'00_Eingabe'!$B$24),IF(B291="Hauptsaison",IF(C291="Wochenende",'00_Eingabe'!$C$25,'00_Eingabe'!$B$25),IF(B291="Weihnachten",IF(C291="Wochenende",'00_Eingabe'!$C$26,'00_Eingabe'!$B$26),IF(C291="Wochenende",'00_Eingabe'!$C$27,'00_Eingabe'!$B$27))))))</x:f>
        <x:v>0.7</x:v>
      </x:c>
      <x:c r="E291" s="122" t="n">
        <x:f>IF(OR(A291="",D291=""),"",ROUND('00_Eingabe'!$B$8*D291,0))</x:f>
        <x:v>25</x:v>
      </x:c>
      <x:c r="F291" s="122" t="n">
        <x:f>IF(E291="","",ROUND(E291*'00_Eingabe'!$B$18,0))</x:f>
        <x:v>48</x:v>
      </x:c>
      <x:c r="G291" s="123" t="n">
        <x:f>IF(A291="","",IF(O291&lt;&gt;"",O291,IF(B291="Nebensaison",IF(C291="Wochenende",'00_Eingabe'!$E$24,'00_Eingabe'!$D$24),IF(B291="Hauptsaison",IF(C291="Wochenende",'00_Eingabe'!$E$25,'00_Eingabe'!$D$25),IF(B291="Weihnachten",IF(C291="Wochenende",'00_Eingabe'!$E$26,'00_Eingabe'!$D$26),IF(C291="Wochenende",'00_Eingabe'!$E$27,'00_Eingabe'!$D$27))))))</x:f>
        <x:v>0.7</x:v>
      </x:c>
      <x:c r="H291" s="122" t="n">
        <x:f>IF(OR(A291="",G291=""),"",ROUND('00_Eingabe'!$B$9*G291,0))</x:f>
        <x:v>3</x:v>
      </x:c>
      <x:c r="I291" s="122" t="n">
        <x:f>IF(H291="","",ROUND(H291*'00_Eingabe'!$B$19,0))</x:f>
        <x:v>7</x:v>
      </x:c>
      <x:c r="J291" s="122" t="n">
        <x:f>IF(OR(F291="",I291=""),"",F291+I291)</x:f>
        <x:v>55</x:v>
      </x:c>
      <x:c r="K291" s="122" t="n">
        <x:f>IF(J291="","",ROUND(J291*'00_Eingabe'!$B$16*(1+'00_Eingabe'!$B$14),0))</x:f>
        <x:v>63</x:v>
      </x:c>
      <x:c r="L291" s="122" t="n">
        <x:f>IF(B291="Betriebsferien",0,ROUND(J291*'00_Eingabe'!$B$40,0)+IF(C291="Wochenende",'00_Eingabe'!$B$42,'00_Eingabe'!$B$41))</x:f>
        <x:v>55</x:v>
      </x:c>
      <x:c r="M291" s="123" t="n">
        <x:f>IF(J291="","",ROUND(J291*'00_Eingabe'!$B$17*(1+'00_Eingabe'!$B$15),0))</x:f>
        <x:v>63</x:v>
      </x:c>
      <x:c r="N291" s="106"/>
      <x:c r="O291" s="106"/>
      <x:c r="P291" s="116"/>
      <x:c r="Q291" s="213" t="n">
        <x:f>IF(C291="Wochenende",1,0)</x:f>
        <x:v>0</x:v>
      </x:c>
      <x:c r="R291" s="213" t="n">
        <x:f>IF(AND(B291&lt;&gt;"Betriebsferien",OR(WEEKDAY(A291,2)=2,WEEKDAY(A291,2)=4)),1,0)</x:f>
        <x:v>0</x:v>
      </x:c>
      <x:c r="S291" s="214" t="n">
        <x:f>R291*MIN(1,'00_Eingabe'!$B$62/'00_Eingabe'!$B$61)</x:f>
        <x:v>0</x:v>
      </x:c>
      <x:c r="T291" s="213" t="n">
        <x:f>IF(B291="Betriebsferien",0,IF(B291="Nebensaison",IF(OR(WEEKDAY(A291,2)=1,WEEKDAY(A291,2)=3,WEEKDAY(A291,2)=5),1,0),IF(C291="Unterwoche",1,0)))</x:f>
        <x:v>1</x:v>
      </x:c>
      <x:c r="U291" s="213" t="n">
        <x:f>IF(B291="Betriebsferien",0,'00_Eingabe'!$G$24)</x:f>
        <x:v>8</x:v>
      </x:c>
    </x:row>
    <x:row r="292">
      <x:c r="A292" s="121" t="n">
        <x:f>IF(ROW()-4&lt;DATE('00_Eingabe'!$B$7+1,1,1)-DATE('00_Eingabe'!$B$7,1,1),DATE('00_Eingabe'!$B$7,1,1)+ROW()-4,"")</x:f>
        <x:v>45946</x:v>
      </x:c>
      <x:c r="B292" s="122" t="str">
        <x:f>IF(A292="","",IF(OR(AND(MONTH(A292)=12,DAY(A292)&gt;=20),AND(MONTH(A292)=1,DAY(A292)&lt;=2)),"Weihnachten",IF(OR(AND(MONTH(A292)=11,DAY(A292)&gt;=24),AND(MONTH(A292)=12,DAY(A292)&lt;=7)),"Betriebsferien",IF(OR(AND(MONTH(A292)=1,DAY(A292)&gt;=3),MONTH(A292)=2,MONTH(A292)=3,MONTH(A292)=4,MONTH(A292)=10,MONTH(A292)=11,AND(MONTH(A292)=12,DAY(A292)&lt;=15)),"Nebensaison","Hauptsaison"))))</x:f>
        <x:v>Nebensaison</x:v>
      </x:c>
      <x:c r="C292" s="122" t="str">
        <x:f>IF(A292="","",IF(WEEKDAY(A292,2)&gt;=6,"Wochenende","Unterwoche"))</x:f>
        <x:v>Unterwoche</x:v>
      </x:c>
      <x:c r="D292" s="123" t="n">
        <x:f>IF(A292="","",IF(N292&lt;&gt;"",N292,IF(B292="Nebensaison",IF(C292="Wochenende",'00_Eingabe'!$C$24,'00_Eingabe'!$B$24),IF(B292="Hauptsaison",IF(C292="Wochenende",'00_Eingabe'!$C$25,'00_Eingabe'!$B$25),IF(B292="Weihnachten",IF(C292="Wochenende",'00_Eingabe'!$C$26,'00_Eingabe'!$B$26),IF(C292="Wochenende",'00_Eingabe'!$C$27,'00_Eingabe'!$B$27))))))</x:f>
        <x:v>0.7</x:v>
      </x:c>
      <x:c r="E292" s="122" t="n">
        <x:f>IF(OR(A292="",D292=""),"",ROUND('00_Eingabe'!$B$8*D292,0))</x:f>
        <x:v>25</x:v>
      </x:c>
      <x:c r="F292" s="122" t="n">
        <x:f>IF(E292="","",ROUND(E292*'00_Eingabe'!$B$18,0))</x:f>
        <x:v>48</x:v>
      </x:c>
      <x:c r="G292" s="123" t="n">
        <x:f>IF(A292="","",IF(O292&lt;&gt;"",O292,IF(B292="Nebensaison",IF(C292="Wochenende",'00_Eingabe'!$E$24,'00_Eingabe'!$D$24),IF(B292="Hauptsaison",IF(C292="Wochenende",'00_Eingabe'!$E$25,'00_Eingabe'!$D$25),IF(B292="Weihnachten",IF(C292="Wochenende",'00_Eingabe'!$E$26,'00_Eingabe'!$D$26),IF(C292="Wochenende",'00_Eingabe'!$E$27,'00_Eingabe'!$D$27))))))</x:f>
        <x:v>0.7</x:v>
      </x:c>
      <x:c r="H292" s="122" t="n">
        <x:f>IF(OR(A292="",G292=""),"",ROUND('00_Eingabe'!$B$9*G292,0))</x:f>
        <x:v>3</x:v>
      </x:c>
      <x:c r="I292" s="122" t="n">
        <x:f>IF(H292="","",ROUND(H292*'00_Eingabe'!$B$19,0))</x:f>
        <x:v>7</x:v>
      </x:c>
      <x:c r="J292" s="122" t="n">
        <x:f>IF(OR(F292="",I292=""),"",F292+I292)</x:f>
        <x:v>55</x:v>
      </x:c>
      <x:c r="K292" s="122" t="n">
        <x:f>IF(J292="","",ROUND(J292*'00_Eingabe'!$B$16*(1+'00_Eingabe'!$B$14),0))</x:f>
        <x:v>63</x:v>
      </x:c>
      <x:c r="L292" s="122" t="n">
        <x:f>IF(B292="Betriebsferien",0,ROUND(J292*'00_Eingabe'!$B$40,0)+IF(C292="Wochenende",'00_Eingabe'!$B$42,'00_Eingabe'!$B$41))</x:f>
        <x:v>55</x:v>
      </x:c>
      <x:c r="M292" s="123" t="n">
        <x:f>IF(J292="","",ROUND(J292*'00_Eingabe'!$B$17*(1+'00_Eingabe'!$B$15),0))</x:f>
        <x:v>63</x:v>
      </x:c>
      <x:c r="N292" s="106"/>
      <x:c r="O292" s="106"/>
      <x:c r="P292" s="116"/>
      <x:c r="Q292" s="213" t="n">
        <x:f>IF(C292="Wochenende",1,0)</x:f>
        <x:v>0</x:v>
      </x:c>
      <x:c r="R292" s="213" t="n">
        <x:f>IF(AND(B292&lt;&gt;"Betriebsferien",OR(WEEKDAY(A292,2)=2,WEEKDAY(A292,2)=4)),1,0)</x:f>
        <x:v>1</x:v>
      </x:c>
      <x:c r="S292" s="214" t="n">
        <x:f>R292*MIN(1,'00_Eingabe'!$B$62/'00_Eingabe'!$B$61)</x:f>
        <x:v>0.5</x:v>
      </x:c>
      <x:c r="T292" s="213" t="n">
        <x:f>IF(B292="Betriebsferien",0,IF(B292="Nebensaison",IF(OR(WEEKDAY(A292,2)=1,WEEKDAY(A292,2)=3,WEEKDAY(A292,2)=5),1,0),IF(C292="Unterwoche",1,0)))</x:f>
        <x:v>0</x:v>
      </x:c>
      <x:c r="U292" s="213" t="n">
        <x:f>IF(B292="Betriebsferien",0,'00_Eingabe'!$G$24)</x:f>
        <x:v>8</x:v>
      </x:c>
    </x:row>
    <x:row r="293">
      <x:c r="A293" s="121" t="n">
        <x:f>IF(ROW()-4&lt;DATE('00_Eingabe'!$B$7+1,1,1)-DATE('00_Eingabe'!$B$7,1,1),DATE('00_Eingabe'!$B$7,1,1)+ROW()-4,"")</x:f>
        <x:v>45947</x:v>
      </x:c>
      <x:c r="B293" s="122" t="str">
        <x:f>IF(A293="","",IF(OR(AND(MONTH(A293)=12,DAY(A293)&gt;=20),AND(MONTH(A293)=1,DAY(A293)&lt;=2)),"Weihnachten",IF(OR(AND(MONTH(A293)=11,DAY(A293)&gt;=24),AND(MONTH(A293)=12,DAY(A293)&lt;=7)),"Betriebsferien",IF(OR(AND(MONTH(A293)=1,DAY(A293)&gt;=3),MONTH(A293)=2,MONTH(A293)=3,MONTH(A293)=4,MONTH(A293)=10,MONTH(A293)=11,AND(MONTH(A293)=12,DAY(A293)&lt;=15)),"Nebensaison","Hauptsaison"))))</x:f>
        <x:v>Nebensaison</x:v>
      </x:c>
      <x:c r="C293" s="122" t="str">
        <x:f>IF(A293="","",IF(WEEKDAY(A293,2)&gt;=6,"Wochenende","Unterwoche"))</x:f>
        <x:v>Unterwoche</x:v>
      </x:c>
      <x:c r="D293" s="123" t="n">
        <x:f>IF(A293="","",IF(N293&lt;&gt;"",N293,IF(B293="Nebensaison",IF(C293="Wochenende",'00_Eingabe'!$C$24,'00_Eingabe'!$B$24),IF(B293="Hauptsaison",IF(C293="Wochenende",'00_Eingabe'!$C$25,'00_Eingabe'!$B$25),IF(B293="Weihnachten",IF(C293="Wochenende",'00_Eingabe'!$C$26,'00_Eingabe'!$B$26),IF(C293="Wochenende",'00_Eingabe'!$C$27,'00_Eingabe'!$B$27))))))</x:f>
        <x:v>0.7</x:v>
      </x:c>
      <x:c r="E293" s="122" t="n">
        <x:f>IF(OR(A293="",D293=""),"",ROUND('00_Eingabe'!$B$8*D293,0))</x:f>
        <x:v>25</x:v>
      </x:c>
      <x:c r="F293" s="122" t="n">
        <x:f>IF(E293="","",ROUND(E293*'00_Eingabe'!$B$18,0))</x:f>
        <x:v>48</x:v>
      </x:c>
      <x:c r="G293" s="123" t="n">
        <x:f>IF(A293="","",IF(O293&lt;&gt;"",O293,IF(B293="Nebensaison",IF(C293="Wochenende",'00_Eingabe'!$E$24,'00_Eingabe'!$D$24),IF(B293="Hauptsaison",IF(C293="Wochenende",'00_Eingabe'!$E$25,'00_Eingabe'!$D$25),IF(B293="Weihnachten",IF(C293="Wochenende",'00_Eingabe'!$E$26,'00_Eingabe'!$D$26),IF(C293="Wochenende",'00_Eingabe'!$E$27,'00_Eingabe'!$D$27))))))</x:f>
        <x:v>0.7</x:v>
      </x:c>
      <x:c r="H293" s="122" t="n">
        <x:f>IF(OR(A293="",G293=""),"",ROUND('00_Eingabe'!$B$9*G293,0))</x:f>
        <x:v>3</x:v>
      </x:c>
      <x:c r="I293" s="122" t="n">
        <x:f>IF(H293="","",ROUND(H293*'00_Eingabe'!$B$19,0))</x:f>
        <x:v>7</x:v>
      </x:c>
      <x:c r="J293" s="122" t="n">
        <x:f>IF(OR(F293="",I293=""),"",F293+I293)</x:f>
        <x:v>55</x:v>
      </x:c>
      <x:c r="K293" s="122" t="n">
        <x:f>IF(J293="","",ROUND(J293*'00_Eingabe'!$B$16*(1+'00_Eingabe'!$B$14),0))</x:f>
        <x:v>63</x:v>
      </x:c>
      <x:c r="L293" s="122" t="n">
        <x:f>IF(B293="Betriebsferien",0,ROUND(J293*'00_Eingabe'!$B$40,0)+IF(C293="Wochenende",'00_Eingabe'!$B$42,'00_Eingabe'!$B$41))</x:f>
        <x:v>55</x:v>
      </x:c>
      <x:c r="M293" s="123" t="n">
        <x:f>IF(J293="","",ROUND(J293*'00_Eingabe'!$B$17*(1+'00_Eingabe'!$B$15),0))</x:f>
        <x:v>63</x:v>
      </x:c>
      <x:c r="N293" s="106"/>
      <x:c r="O293" s="106"/>
      <x:c r="P293" s="116"/>
      <x:c r="Q293" s="213" t="n">
        <x:f>IF(C293="Wochenende",1,0)</x:f>
        <x:v>0</x:v>
      </x:c>
      <x:c r="R293" s="213" t="n">
        <x:f>IF(AND(B293&lt;&gt;"Betriebsferien",OR(WEEKDAY(A293,2)=2,WEEKDAY(A293,2)=4)),1,0)</x:f>
        <x:v>0</x:v>
      </x:c>
      <x:c r="S293" s="214" t="n">
        <x:f>R293*MIN(1,'00_Eingabe'!$B$62/'00_Eingabe'!$B$61)</x:f>
        <x:v>0</x:v>
      </x:c>
      <x:c r="T293" s="213" t="n">
        <x:f>IF(B293="Betriebsferien",0,IF(B293="Nebensaison",IF(OR(WEEKDAY(A293,2)=1,WEEKDAY(A293,2)=3,WEEKDAY(A293,2)=5),1,0),IF(C293="Unterwoche",1,0)))</x:f>
        <x:v>1</x:v>
      </x:c>
      <x:c r="U293" s="213" t="n">
        <x:f>IF(B293="Betriebsferien",0,'00_Eingabe'!$G$24)</x:f>
        <x:v>8</x:v>
      </x:c>
    </x:row>
    <x:row r="294">
      <x:c r="A294" s="121" t="n">
        <x:f>IF(ROW()-4&lt;DATE('00_Eingabe'!$B$7+1,1,1)-DATE('00_Eingabe'!$B$7,1,1),DATE('00_Eingabe'!$B$7,1,1)+ROW()-4,"")</x:f>
        <x:v>45948</x:v>
      </x:c>
      <x:c r="B294" s="122" t="str">
        <x:f>IF(A294="","",IF(OR(AND(MONTH(A294)=12,DAY(A294)&gt;=20),AND(MONTH(A294)=1,DAY(A294)&lt;=2)),"Weihnachten",IF(OR(AND(MONTH(A294)=11,DAY(A294)&gt;=24),AND(MONTH(A294)=12,DAY(A294)&lt;=7)),"Betriebsferien",IF(OR(AND(MONTH(A294)=1,DAY(A294)&gt;=3),MONTH(A294)=2,MONTH(A294)=3,MONTH(A294)=4,MONTH(A294)=10,MONTH(A294)=11,AND(MONTH(A294)=12,DAY(A294)&lt;=15)),"Nebensaison","Hauptsaison"))))</x:f>
        <x:v>Nebensaison</x:v>
      </x:c>
      <x:c r="C294" s="122" t="str">
        <x:f>IF(A294="","",IF(WEEKDAY(A294,2)&gt;=6,"Wochenende","Unterwoche"))</x:f>
        <x:v>Wochenende</x:v>
      </x:c>
      <x:c r="D294" s="123" t="n">
        <x:f>IF(A294="","",IF(N294&lt;&gt;"",N294,IF(B294="Nebensaison",IF(C294="Wochenende",'00_Eingabe'!$C$24,'00_Eingabe'!$B$24),IF(B294="Hauptsaison",IF(C294="Wochenende",'00_Eingabe'!$C$25,'00_Eingabe'!$B$25),IF(B294="Weihnachten",IF(C294="Wochenende",'00_Eingabe'!$C$26,'00_Eingabe'!$B$26),IF(C294="Wochenende",'00_Eingabe'!$C$27,'00_Eingabe'!$B$27))))))</x:f>
        <x:v>0.75</x:v>
      </x:c>
      <x:c r="E294" s="122" t="n">
        <x:f>IF(OR(A294="",D294=""),"",ROUND('00_Eingabe'!$B$8*D294,0))</x:f>
        <x:v>26</x:v>
      </x:c>
      <x:c r="F294" s="122" t="n">
        <x:f>IF(E294="","",ROUND(E294*'00_Eingabe'!$B$18,0))</x:f>
        <x:v>49</x:v>
      </x:c>
      <x:c r="G294" s="123" t="n">
        <x:f>IF(A294="","",IF(O294&lt;&gt;"",O294,IF(B294="Nebensaison",IF(C294="Wochenende",'00_Eingabe'!$E$24,'00_Eingabe'!$D$24),IF(B294="Hauptsaison",IF(C294="Wochenende",'00_Eingabe'!$E$25,'00_Eingabe'!$D$25),IF(B294="Weihnachten",IF(C294="Wochenende",'00_Eingabe'!$E$26,'00_Eingabe'!$D$26),IF(C294="Wochenende",'00_Eingabe'!$E$27,'00_Eingabe'!$D$27))))))</x:f>
        <x:v>0.75</x:v>
      </x:c>
      <x:c r="H294" s="122" t="n">
        <x:f>IF(OR(A294="",G294=""),"",ROUND('00_Eingabe'!$B$9*G294,0))</x:f>
        <x:v>3</x:v>
      </x:c>
      <x:c r="I294" s="122" t="n">
        <x:f>IF(H294="","",ROUND(H294*'00_Eingabe'!$B$19,0))</x:f>
        <x:v>7</x:v>
      </x:c>
      <x:c r="J294" s="122" t="n">
        <x:f>IF(OR(F294="",I294=""),"",F294+I294)</x:f>
        <x:v>56</x:v>
      </x:c>
      <x:c r="K294" s="122" t="n">
        <x:f>IF(J294="","",ROUND(J294*'00_Eingabe'!$B$16*(1+'00_Eingabe'!$B$14),0))</x:f>
        <x:v>64</x:v>
      </x:c>
      <x:c r="L294" s="122" t="n">
        <x:f>IF(B294="Betriebsferien",0,ROUND(J294*'00_Eingabe'!$B$40,0)+IF(C294="Wochenende",'00_Eingabe'!$B$42,'00_Eingabe'!$B$41))</x:f>
        <x:v>80</x:v>
      </x:c>
      <x:c r="M294" s="123" t="n">
        <x:f>IF(J294="","",ROUND(J294*'00_Eingabe'!$B$17*(1+'00_Eingabe'!$B$15),0))</x:f>
        <x:v>64</x:v>
      </x:c>
      <x:c r="N294" s="106"/>
      <x:c r="O294" s="106"/>
      <x:c r="P294" s="116"/>
      <x:c r="Q294" s="213" t="n">
        <x:f>IF(C294="Wochenende",1,0)</x:f>
        <x:v>1</x:v>
      </x:c>
      <x:c r="R294" s="213" t="n">
        <x:f>IF(AND(B294&lt;&gt;"Betriebsferien",OR(WEEKDAY(A294,2)=2,WEEKDAY(A294,2)=4)),1,0)</x:f>
        <x:v>0</x:v>
      </x:c>
      <x:c r="S294" s="214" t="n">
        <x:f>R294*MIN(1,'00_Eingabe'!$B$62/'00_Eingabe'!$B$61)</x:f>
        <x:v>0</x:v>
      </x:c>
      <x:c r="T294" s="213" t="n">
        <x:f>IF(B294="Betriebsferien",0,IF(B294="Nebensaison",IF(OR(WEEKDAY(A294,2)=1,WEEKDAY(A294,2)=3,WEEKDAY(A294,2)=5),1,0),IF(C294="Unterwoche",1,0)))</x:f>
        <x:v>0</x:v>
      </x:c>
      <x:c r="U294" s="213" t="n">
        <x:f>IF(B294="Betriebsferien",0,'00_Eingabe'!$G$24)</x:f>
        <x:v>8</x:v>
      </x:c>
    </x:row>
    <x:row r="295">
      <x:c r="A295" s="121" t="n">
        <x:f>IF(ROW()-4&lt;DATE('00_Eingabe'!$B$7+1,1,1)-DATE('00_Eingabe'!$B$7,1,1),DATE('00_Eingabe'!$B$7,1,1)+ROW()-4,"")</x:f>
        <x:v>45949</x:v>
      </x:c>
      <x:c r="B295" s="122" t="str">
        <x:f>IF(A295="","",IF(OR(AND(MONTH(A295)=12,DAY(A295)&gt;=20),AND(MONTH(A295)=1,DAY(A295)&lt;=2)),"Weihnachten",IF(OR(AND(MONTH(A295)=11,DAY(A295)&gt;=24),AND(MONTH(A295)=12,DAY(A295)&lt;=7)),"Betriebsferien",IF(OR(AND(MONTH(A295)=1,DAY(A295)&gt;=3),MONTH(A295)=2,MONTH(A295)=3,MONTH(A295)=4,MONTH(A295)=10,MONTH(A295)=11,AND(MONTH(A295)=12,DAY(A295)&lt;=15)),"Nebensaison","Hauptsaison"))))</x:f>
        <x:v>Nebensaison</x:v>
      </x:c>
      <x:c r="C295" s="122" t="str">
        <x:f>IF(A295="","",IF(WEEKDAY(A295,2)&gt;=6,"Wochenende","Unterwoche"))</x:f>
        <x:v>Wochenende</x:v>
      </x:c>
      <x:c r="D295" s="123" t="n">
        <x:f>IF(A295="","",IF(N295&lt;&gt;"",N295,IF(B295="Nebensaison",IF(C295="Wochenende",'00_Eingabe'!$C$24,'00_Eingabe'!$B$24),IF(B295="Hauptsaison",IF(C295="Wochenende",'00_Eingabe'!$C$25,'00_Eingabe'!$B$25),IF(B295="Weihnachten",IF(C295="Wochenende",'00_Eingabe'!$C$26,'00_Eingabe'!$B$26),IF(C295="Wochenende",'00_Eingabe'!$C$27,'00_Eingabe'!$B$27))))))</x:f>
        <x:v>0.75</x:v>
      </x:c>
      <x:c r="E295" s="122" t="n">
        <x:f>IF(OR(A295="",D295=""),"",ROUND('00_Eingabe'!$B$8*D295,0))</x:f>
        <x:v>26</x:v>
      </x:c>
      <x:c r="F295" s="122" t="n">
        <x:f>IF(E295="","",ROUND(E295*'00_Eingabe'!$B$18,0))</x:f>
        <x:v>49</x:v>
      </x:c>
      <x:c r="G295" s="123" t="n">
        <x:f>IF(A295="","",IF(O295&lt;&gt;"",O295,IF(B295="Nebensaison",IF(C295="Wochenende",'00_Eingabe'!$E$24,'00_Eingabe'!$D$24),IF(B295="Hauptsaison",IF(C295="Wochenende",'00_Eingabe'!$E$25,'00_Eingabe'!$D$25),IF(B295="Weihnachten",IF(C295="Wochenende",'00_Eingabe'!$E$26,'00_Eingabe'!$D$26),IF(C295="Wochenende",'00_Eingabe'!$E$27,'00_Eingabe'!$D$27))))))</x:f>
        <x:v>0.75</x:v>
      </x:c>
      <x:c r="H295" s="122" t="n">
        <x:f>IF(OR(A295="",G295=""),"",ROUND('00_Eingabe'!$B$9*G295,0))</x:f>
        <x:v>3</x:v>
      </x:c>
      <x:c r="I295" s="122" t="n">
        <x:f>IF(H295="","",ROUND(H295*'00_Eingabe'!$B$19,0))</x:f>
        <x:v>7</x:v>
      </x:c>
      <x:c r="J295" s="122" t="n">
        <x:f>IF(OR(F295="",I295=""),"",F295+I295)</x:f>
        <x:v>56</x:v>
      </x:c>
      <x:c r="K295" s="122" t="n">
        <x:f>IF(J295="","",ROUND(J295*'00_Eingabe'!$B$16*(1+'00_Eingabe'!$B$14),0))</x:f>
        <x:v>64</x:v>
      </x:c>
      <x:c r="L295" s="122" t="n">
        <x:f>IF(B295="Betriebsferien",0,ROUND(J295*'00_Eingabe'!$B$40,0)+IF(C295="Wochenende",'00_Eingabe'!$B$42,'00_Eingabe'!$B$41))</x:f>
        <x:v>80</x:v>
      </x:c>
      <x:c r="M295" s="123" t="n">
        <x:f>IF(J295="","",ROUND(J295*'00_Eingabe'!$B$17*(1+'00_Eingabe'!$B$15),0))</x:f>
        <x:v>64</x:v>
      </x:c>
      <x:c r="N295" s="106"/>
      <x:c r="O295" s="106"/>
      <x:c r="P295" s="116"/>
      <x:c r="Q295" s="213" t="n">
        <x:f>IF(C295="Wochenende",1,0)</x:f>
        <x:v>1</x:v>
      </x:c>
      <x:c r="R295" s="213" t="n">
        <x:f>IF(AND(B295&lt;&gt;"Betriebsferien",OR(WEEKDAY(A295,2)=2,WEEKDAY(A295,2)=4)),1,0)</x:f>
        <x:v>0</x:v>
      </x:c>
      <x:c r="S295" s="214" t="n">
        <x:f>R295*MIN(1,'00_Eingabe'!$B$62/'00_Eingabe'!$B$61)</x:f>
        <x:v>0</x:v>
      </x:c>
      <x:c r="T295" s="213" t="n">
        <x:f>IF(B295="Betriebsferien",0,IF(B295="Nebensaison",IF(OR(WEEKDAY(A295,2)=1,WEEKDAY(A295,2)=3,WEEKDAY(A295,2)=5),1,0),IF(C295="Unterwoche",1,0)))</x:f>
        <x:v>0</x:v>
      </x:c>
      <x:c r="U295" s="213" t="n">
        <x:f>IF(B295="Betriebsferien",0,'00_Eingabe'!$G$24)</x:f>
        <x:v>8</x:v>
      </x:c>
    </x:row>
    <x:row r="296">
      <x:c r="A296" s="121" t="n">
        <x:f>IF(ROW()-4&lt;DATE('00_Eingabe'!$B$7+1,1,1)-DATE('00_Eingabe'!$B$7,1,1),DATE('00_Eingabe'!$B$7,1,1)+ROW()-4,"")</x:f>
        <x:v>45950</x:v>
      </x:c>
      <x:c r="B296" s="122" t="str">
        <x:f>IF(A296="","",IF(OR(AND(MONTH(A296)=12,DAY(A296)&gt;=20),AND(MONTH(A296)=1,DAY(A296)&lt;=2)),"Weihnachten",IF(OR(AND(MONTH(A296)=11,DAY(A296)&gt;=24),AND(MONTH(A296)=12,DAY(A296)&lt;=7)),"Betriebsferien",IF(OR(AND(MONTH(A296)=1,DAY(A296)&gt;=3),MONTH(A296)=2,MONTH(A296)=3,MONTH(A296)=4,MONTH(A296)=10,MONTH(A296)=11,AND(MONTH(A296)=12,DAY(A296)&lt;=15)),"Nebensaison","Hauptsaison"))))</x:f>
        <x:v>Nebensaison</x:v>
      </x:c>
      <x:c r="C296" s="122" t="str">
        <x:f>IF(A296="","",IF(WEEKDAY(A296,2)&gt;=6,"Wochenende","Unterwoche"))</x:f>
        <x:v>Unterwoche</x:v>
      </x:c>
      <x:c r="D296" s="123" t="n">
        <x:f>IF(A296="","",IF(N296&lt;&gt;"",N296,IF(B296="Nebensaison",IF(C296="Wochenende",'00_Eingabe'!$C$24,'00_Eingabe'!$B$24),IF(B296="Hauptsaison",IF(C296="Wochenende",'00_Eingabe'!$C$25,'00_Eingabe'!$B$25),IF(B296="Weihnachten",IF(C296="Wochenende",'00_Eingabe'!$C$26,'00_Eingabe'!$B$26),IF(C296="Wochenende",'00_Eingabe'!$C$27,'00_Eingabe'!$B$27))))))</x:f>
        <x:v>0.7</x:v>
      </x:c>
      <x:c r="E296" s="122" t="n">
        <x:f>IF(OR(A296="",D296=""),"",ROUND('00_Eingabe'!$B$8*D296,0))</x:f>
        <x:v>25</x:v>
      </x:c>
      <x:c r="F296" s="122" t="n">
        <x:f>IF(E296="","",ROUND(E296*'00_Eingabe'!$B$18,0))</x:f>
        <x:v>48</x:v>
      </x:c>
      <x:c r="G296" s="123" t="n">
        <x:f>IF(A296="","",IF(O296&lt;&gt;"",O296,IF(B296="Nebensaison",IF(C296="Wochenende",'00_Eingabe'!$E$24,'00_Eingabe'!$D$24),IF(B296="Hauptsaison",IF(C296="Wochenende",'00_Eingabe'!$E$25,'00_Eingabe'!$D$25),IF(B296="Weihnachten",IF(C296="Wochenende",'00_Eingabe'!$E$26,'00_Eingabe'!$D$26),IF(C296="Wochenende",'00_Eingabe'!$E$27,'00_Eingabe'!$D$27))))))</x:f>
        <x:v>0.7</x:v>
      </x:c>
      <x:c r="H296" s="122" t="n">
        <x:f>IF(OR(A296="",G296=""),"",ROUND('00_Eingabe'!$B$9*G296,0))</x:f>
        <x:v>3</x:v>
      </x:c>
      <x:c r="I296" s="122" t="n">
        <x:f>IF(H296="","",ROUND(H296*'00_Eingabe'!$B$19,0))</x:f>
        <x:v>7</x:v>
      </x:c>
      <x:c r="J296" s="122" t="n">
        <x:f>IF(OR(F296="",I296=""),"",F296+I296)</x:f>
        <x:v>55</x:v>
      </x:c>
      <x:c r="K296" s="122" t="n">
        <x:f>IF(J296="","",ROUND(J296*'00_Eingabe'!$B$16*(1+'00_Eingabe'!$B$14),0))</x:f>
        <x:v>63</x:v>
      </x:c>
      <x:c r="L296" s="122" t="n">
        <x:f>IF(B296="Betriebsferien",0,ROUND(J296*'00_Eingabe'!$B$40,0)+IF(C296="Wochenende",'00_Eingabe'!$B$42,'00_Eingabe'!$B$41))</x:f>
        <x:v>55</x:v>
      </x:c>
      <x:c r="M296" s="123" t="n">
        <x:f>IF(J296="","",ROUND(J296*'00_Eingabe'!$B$17*(1+'00_Eingabe'!$B$15),0))</x:f>
        <x:v>63</x:v>
      </x:c>
      <x:c r="N296" s="106"/>
      <x:c r="O296" s="106"/>
      <x:c r="P296" s="116"/>
      <x:c r="Q296" s="213" t="n">
        <x:f>IF(C296="Wochenende",1,0)</x:f>
        <x:v>0</x:v>
      </x:c>
      <x:c r="R296" s="213" t="n">
        <x:f>IF(AND(B296&lt;&gt;"Betriebsferien",OR(WEEKDAY(A296,2)=2,WEEKDAY(A296,2)=4)),1,0)</x:f>
        <x:v>0</x:v>
      </x:c>
      <x:c r="S296" s="214" t="n">
        <x:f>R296*MIN(1,'00_Eingabe'!$B$62/'00_Eingabe'!$B$61)</x:f>
        <x:v>0</x:v>
      </x:c>
      <x:c r="T296" s="213" t="n">
        <x:f>IF(B296="Betriebsferien",0,IF(B296="Nebensaison",IF(OR(WEEKDAY(A296,2)=1,WEEKDAY(A296,2)=3,WEEKDAY(A296,2)=5),1,0),IF(C296="Unterwoche",1,0)))</x:f>
        <x:v>1</x:v>
      </x:c>
      <x:c r="U296" s="213" t="n">
        <x:f>IF(B296="Betriebsferien",0,'00_Eingabe'!$G$24)</x:f>
        <x:v>8</x:v>
      </x:c>
    </x:row>
    <x:row r="297">
      <x:c r="A297" s="121" t="n">
        <x:f>IF(ROW()-4&lt;DATE('00_Eingabe'!$B$7+1,1,1)-DATE('00_Eingabe'!$B$7,1,1),DATE('00_Eingabe'!$B$7,1,1)+ROW()-4,"")</x:f>
        <x:v>45951</x:v>
      </x:c>
      <x:c r="B297" s="122" t="str">
        <x:f>IF(A297="","",IF(OR(AND(MONTH(A297)=12,DAY(A297)&gt;=20),AND(MONTH(A297)=1,DAY(A297)&lt;=2)),"Weihnachten",IF(OR(AND(MONTH(A297)=11,DAY(A297)&gt;=24),AND(MONTH(A297)=12,DAY(A297)&lt;=7)),"Betriebsferien",IF(OR(AND(MONTH(A297)=1,DAY(A297)&gt;=3),MONTH(A297)=2,MONTH(A297)=3,MONTH(A297)=4,MONTH(A297)=10,MONTH(A297)=11,AND(MONTH(A297)=12,DAY(A297)&lt;=15)),"Nebensaison","Hauptsaison"))))</x:f>
        <x:v>Nebensaison</x:v>
      </x:c>
      <x:c r="C297" s="122" t="str">
        <x:f>IF(A297="","",IF(WEEKDAY(A297,2)&gt;=6,"Wochenende","Unterwoche"))</x:f>
        <x:v>Unterwoche</x:v>
      </x:c>
      <x:c r="D297" s="123" t="n">
        <x:f>IF(A297="","",IF(N297&lt;&gt;"",N297,IF(B297="Nebensaison",IF(C297="Wochenende",'00_Eingabe'!$C$24,'00_Eingabe'!$B$24),IF(B297="Hauptsaison",IF(C297="Wochenende",'00_Eingabe'!$C$25,'00_Eingabe'!$B$25),IF(B297="Weihnachten",IF(C297="Wochenende",'00_Eingabe'!$C$26,'00_Eingabe'!$B$26),IF(C297="Wochenende",'00_Eingabe'!$C$27,'00_Eingabe'!$B$27))))))</x:f>
        <x:v>0.7</x:v>
      </x:c>
      <x:c r="E297" s="122" t="n">
        <x:f>IF(OR(A297="",D297=""),"",ROUND('00_Eingabe'!$B$8*D297,0))</x:f>
        <x:v>25</x:v>
      </x:c>
      <x:c r="F297" s="122" t="n">
        <x:f>IF(E297="","",ROUND(E297*'00_Eingabe'!$B$18,0))</x:f>
        <x:v>48</x:v>
      </x:c>
      <x:c r="G297" s="123" t="n">
        <x:f>IF(A297="","",IF(O297&lt;&gt;"",O297,IF(B297="Nebensaison",IF(C297="Wochenende",'00_Eingabe'!$E$24,'00_Eingabe'!$D$24),IF(B297="Hauptsaison",IF(C297="Wochenende",'00_Eingabe'!$E$25,'00_Eingabe'!$D$25),IF(B297="Weihnachten",IF(C297="Wochenende",'00_Eingabe'!$E$26,'00_Eingabe'!$D$26),IF(C297="Wochenende",'00_Eingabe'!$E$27,'00_Eingabe'!$D$27))))))</x:f>
        <x:v>0.7</x:v>
      </x:c>
      <x:c r="H297" s="122" t="n">
        <x:f>IF(OR(A297="",G297=""),"",ROUND('00_Eingabe'!$B$9*G297,0))</x:f>
        <x:v>3</x:v>
      </x:c>
      <x:c r="I297" s="122" t="n">
        <x:f>IF(H297="","",ROUND(H297*'00_Eingabe'!$B$19,0))</x:f>
        <x:v>7</x:v>
      </x:c>
      <x:c r="J297" s="122" t="n">
        <x:f>IF(OR(F297="",I297=""),"",F297+I297)</x:f>
        <x:v>55</x:v>
      </x:c>
      <x:c r="K297" s="122" t="n">
        <x:f>IF(J297="","",ROUND(J297*'00_Eingabe'!$B$16*(1+'00_Eingabe'!$B$14),0))</x:f>
        <x:v>63</x:v>
      </x:c>
      <x:c r="L297" s="122" t="n">
        <x:f>IF(B297="Betriebsferien",0,ROUND(J297*'00_Eingabe'!$B$40,0)+IF(C297="Wochenende",'00_Eingabe'!$B$42,'00_Eingabe'!$B$41))</x:f>
        <x:v>55</x:v>
      </x:c>
      <x:c r="M297" s="123" t="n">
        <x:f>IF(J297="","",ROUND(J297*'00_Eingabe'!$B$17*(1+'00_Eingabe'!$B$15),0))</x:f>
        <x:v>63</x:v>
      </x:c>
      <x:c r="N297" s="106"/>
      <x:c r="O297" s="106"/>
      <x:c r="P297" s="116"/>
      <x:c r="Q297" s="213" t="n">
        <x:f>IF(C297="Wochenende",1,0)</x:f>
        <x:v>0</x:v>
      </x:c>
      <x:c r="R297" s="213" t="n">
        <x:f>IF(AND(B297&lt;&gt;"Betriebsferien",OR(WEEKDAY(A297,2)=2,WEEKDAY(A297,2)=4)),1,0)</x:f>
        <x:v>1</x:v>
      </x:c>
      <x:c r="S297" s="214" t="n">
        <x:f>R297*MIN(1,'00_Eingabe'!$B$62/'00_Eingabe'!$B$61)</x:f>
        <x:v>0.5</x:v>
      </x:c>
      <x:c r="T297" s="213" t="n">
        <x:f>IF(B297="Betriebsferien",0,IF(B297="Nebensaison",IF(OR(WEEKDAY(A297,2)=1,WEEKDAY(A297,2)=3,WEEKDAY(A297,2)=5),1,0),IF(C297="Unterwoche",1,0)))</x:f>
        <x:v>0</x:v>
      </x:c>
      <x:c r="U297" s="213" t="n">
        <x:f>IF(B297="Betriebsferien",0,'00_Eingabe'!$G$24)</x:f>
        <x:v>8</x:v>
      </x:c>
    </x:row>
    <x:row r="298">
      <x:c r="A298" s="121" t="n">
        <x:f>IF(ROW()-4&lt;DATE('00_Eingabe'!$B$7+1,1,1)-DATE('00_Eingabe'!$B$7,1,1),DATE('00_Eingabe'!$B$7,1,1)+ROW()-4,"")</x:f>
        <x:v>45952</x:v>
      </x:c>
      <x:c r="B298" s="122" t="str">
        <x:f>IF(A298="","",IF(OR(AND(MONTH(A298)=12,DAY(A298)&gt;=20),AND(MONTH(A298)=1,DAY(A298)&lt;=2)),"Weihnachten",IF(OR(AND(MONTH(A298)=11,DAY(A298)&gt;=24),AND(MONTH(A298)=12,DAY(A298)&lt;=7)),"Betriebsferien",IF(OR(AND(MONTH(A298)=1,DAY(A298)&gt;=3),MONTH(A298)=2,MONTH(A298)=3,MONTH(A298)=4,MONTH(A298)=10,MONTH(A298)=11,AND(MONTH(A298)=12,DAY(A298)&lt;=15)),"Nebensaison","Hauptsaison"))))</x:f>
        <x:v>Nebensaison</x:v>
      </x:c>
      <x:c r="C298" s="122" t="str">
        <x:f>IF(A298="","",IF(WEEKDAY(A298,2)&gt;=6,"Wochenende","Unterwoche"))</x:f>
        <x:v>Unterwoche</x:v>
      </x:c>
      <x:c r="D298" s="123" t="n">
        <x:f>IF(A298="","",IF(N298&lt;&gt;"",N298,IF(B298="Nebensaison",IF(C298="Wochenende",'00_Eingabe'!$C$24,'00_Eingabe'!$B$24),IF(B298="Hauptsaison",IF(C298="Wochenende",'00_Eingabe'!$C$25,'00_Eingabe'!$B$25),IF(B298="Weihnachten",IF(C298="Wochenende",'00_Eingabe'!$C$26,'00_Eingabe'!$B$26),IF(C298="Wochenende",'00_Eingabe'!$C$27,'00_Eingabe'!$B$27))))))</x:f>
        <x:v>0.7</x:v>
      </x:c>
      <x:c r="E298" s="122" t="n">
        <x:f>IF(OR(A298="",D298=""),"",ROUND('00_Eingabe'!$B$8*D298,0))</x:f>
        <x:v>25</x:v>
      </x:c>
      <x:c r="F298" s="122" t="n">
        <x:f>IF(E298="","",ROUND(E298*'00_Eingabe'!$B$18,0))</x:f>
        <x:v>48</x:v>
      </x:c>
      <x:c r="G298" s="123" t="n">
        <x:f>IF(A298="","",IF(O298&lt;&gt;"",O298,IF(B298="Nebensaison",IF(C298="Wochenende",'00_Eingabe'!$E$24,'00_Eingabe'!$D$24),IF(B298="Hauptsaison",IF(C298="Wochenende",'00_Eingabe'!$E$25,'00_Eingabe'!$D$25),IF(B298="Weihnachten",IF(C298="Wochenende",'00_Eingabe'!$E$26,'00_Eingabe'!$D$26),IF(C298="Wochenende",'00_Eingabe'!$E$27,'00_Eingabe'!$D$27))))))</x:f>
        <x:v>0.7</x:v>
      </x:c>
      <x:c r="H298" s="122" t="n">
        <x:f>IF(OR(A298="",G298=""),"",ROUND('00_Eingabe'!$B$9*G298,0))</x:f>
        <x:v>3</x:v>
      </x:c>
      <x:c r="I298" s="122" t="n">
        <x:f>IF(H298="","",ROUND(H298*'00_Eingabe'!$B$19,0))</x:f>
        <x:v>7</x:v>
      </x:c>
      <x:c r="J298" s="122" t="n">
        <x:f>IF(OR(F298="",I298=""),"",F298+I298)</x:f>
        <x:v>55</x:v>
      </x:c>
      <x:c r="K298" s="122" t="n">
        <x:f>IF(J298="","",ROUND(J298*'00_Eingabe'!$B$16*(1+'00_Eingabe'!$B$14),0))</x:f>
        <x:v>63</x:v>
      </x:c>
      <x:c r="L298" s="122" t="n">
        <x:f>IF(B298="Betriebsferien",0,ROUND(J298*'00_Eingabe'!$B$40,0)+IF(C298="Wochenende",'00_Eingabe'!$B$42,'00_Eingabe'!$B$41))</x:f>
        <x:v>55</x:v>
      </x:c>
      <x:c r="M298" s="123" t="n">
        <x:f>IF(J298="","",ROUND(J298*'00_Eingabe'!$B$17*(1+'00_Eingabe'!$B$15),0))</x:f>
        <x:v>63</x:v>
      </x:c>
      <x:c r="N298" s="106"/>
      <x:c r="O298" s="106"/>
      <x:c r="P298" s="116"/>
      <x:c r="Q298" s="213" t="n">
        <x:f>IF(C298="Wochenende",1,0)</x:f>
        <x:v>0</x:v>
      </x:c>
      <x:c r="R298" s="213" t="n">
        <x:f>IF(AND(B298&lt;&gt;"Betriebsferien",OR(WEEKDAY(A298,2)=2,WEEKDAY(A298,2)=4)),1,0)</x:f>
        <x:v>0</x:v>
      </x:c>
      <x:c r="S298" s="214" t="n">
        <x:f>R298*MIN(1,'00_Eingabe'!$B$62/'00_Eingabe'!$B$61)</x:f>
        <x:v>0</x:v>
      </x:c>
      <x:c r="T298" s="213" t="n">
        <x:f>IF(B298="Betriebsferien",0,IF(B298="Nebensaison",IF(OR(WEEKDAY(A298,2)=1,WEEKDAY(A298,2)=3,WEEKDAY(A298,2)=5),1,0),IF(C298="Unterwoche",1,0)))</x:f>
        <x:v>1</x:v>
      </x:c>
      <x:c r="U298" s="213" t="n">
        <x:f>IF(B298="Betriebsferien",0,'00_Eingabe'!$G$24)</x:f>
        <x:v>8</x:v>
      </x:c>
    </x:row>
    <x:row r="299">
      <x:c r="A299" s="121" t="n">
        <x:f>IF(ROW()-4&lt;DATE('00_Eingabe'!$B$7+1,1,1)-DATE('00_Eingabe'!$B$7,1,1),DATE('00_Eingabe'!$B$7,1,1)+ROW()-4,"")</x:f>
        <x:v>45953</x:v>
      </x:c>
      <x:c r="B299" s="122" t="str">
        <x:f>IF(A299="","",IF(OR(AND(MONTH(A299)=12,DAY(A299)&gt;=20),AND(MONTH(A299)=1,DAY(A299)&lt;=2)),"Weihnachten",IF(OR(AND(MONTH(A299)=11,DAY(A299)&gt;=24),AND(MONTH(A299)=12,DAY(A299)&lt;=7)),"Betriebsferien",IF(OR(AND(MONTH(A299)=1,DAY(A299)&gt;=3),MONTH(A299)=2,MONTH(A299)=3,MONTH(A299)=4,MONTH(A299)=10,MONTH(A299)=11,AND(MONTH(A299)=12,DAY(A299)&lt;=15)),"Nebensaison","Hauptsaison"))))</x:f>
        <x:v>Nebensaison</x:v>
      </x:c>
      <x:c r="C299" s="122" t="str">
        <x:f>IF(A299="","",IF(WEEKDAY(A299,2)&gt;=6,"Wochenende","Unterwoche"))</x:f>
        <x:v>Unterwoche</x:v>
      </x:c>
      <x:c r="D299" s="123" t="n">
        <x:f>IF(A299="","",IF(N299&lt;&gt;"",N299,IF(B299="Nebensaison",IF(C299="Wochenende",'00_Eingabe'!$C$24,'00_Eingabe'!$B$24),IF(B299="Hauptsaison",IF(C299="Wochenende",'00_Eingabe'!$C$25,'00_Eingabe'!$B$25),IF(B299="Weihnachten",IF(C299="Wochenende",'00_Eingabe'!$C$26,'00_Eingabe'!$B$26),IF(C299="Wochenende",'00_Eingabe'!$C$27,'00_Eingabe'!$B$27))))))</x:f>
        <x:v>0.7</x:v>
      </x:c>
      <x:c r="E299" s="122" t="n">
        <x:f>IF(OR(A299="",D299=""),"",ROUND('00_Eingabe'!$B$8*D299,0))</x:f>
        <x:v>25</x:v>
      </x:c>
      <x:c r="F299" s="122" t="n">
        <x:f>IF(E299="","",ROUND(E299*'00_Eingabe'!$B$18,0))</x:f>
        <x:v>48</x:v>
      </x:c>
      <x:c r="G299" s="123" t="n">
        <x:f>IF(A299="","",IF(O299&lt;&gt;"",O299,IF(B299="Nebensaison",IF(C299="Wochenende",'00_Eingabe'!$E$24,'00_Eingabe'!$D$24),IF(B299="Hauptsaison",IF(C299="Wochenende",'00_Eingabe'!$E$25,'00_Eingabe'!$D$25),IF(B299="Weihnachten",IF(C299="Wochenende",'00_Eingabe'!$E$26,'00_Eingabe'!$D$26),IF(C299="Wochenende",'00_Eingabe'!$E$27,'00_Eingabe'!$D$27))))))</x:f>
        <x:v>0.7</x:v>
      </x:c>
      <x:c r="H299" s="122" t="n">
        <x:f>IF(OR(A299="",G299=""),"",ROUND('00_Eingabe'!$B$9*G299,0))</x:f>
        <x:v>3</x:v>
      </x:c>
      <x:c r="I299" s="122" t="n">
        <x:f>IF(H299="","",ROUND(H299*'00_Eingabe'!$B$19,0))</x:f>
        <x:v>7</x:v>
      </x:c>
      <x:c r="J299" s="122" t="n">
        <x:f>IF(OR(F299="",I299=""),"",F299+I299)</x:f>
        <x:v>55</x:v>
      </x:c>
      <x:c r="K299" s="122" t="n">
        <x:f>IF(J299="","",ROUND(J299*'00_Eingabe'!$B$16*(1+'00_Eingabe'!$B$14),0))</x:f>
        <x:v>63</x:v>
      </x:c>
      <x:c r="L299" s="122" t="n">
        <x:f>IF(B299="Betriebsferien",0,ROUND(J299*'00_Eingabe'!$B$40,0)+IF(C299="Wochenende",'00_Eingabe'!$B$42,'00_Eingabe'!$B$41))</x:f>
        <x:v>55</x:v>
      </x:c>
      <x:c r="M299" s="123" t="n">
        <x:f>IF(J299="","",ROUND(J299*'00_Eingabe'!$B$17*(1+'00_Eingabe'!$B$15),0))</x:f>
        <x:v>63</x:v>
      </x:c>
      <x:c r="N299" s="106"/>
      <x:c r="O299" s="106"/>
      <x:c r="P299" s="116"/>
      <x:c r="Q299" s="213" t="n">
        <x:f>IF(C299="Wochenende",1,0)</x:f>
        <x:v>0</x:v>
      </x:c>
      <x:c r="R299" s="213" t="n">
        <x:f>IF(AND(B299&lt;&gt;"Betriebsferien",OR(WEEKDAY(A299,2)=2,WEEKDAY(A299,2)=4)),1,0)</x:f>
        <x:v>1</x:v>
      </x:c>
      <x:c r="S299" s="214" t="n">
        <x:f>R299*MIN(1,'00_Eingabe'!$B$62/'00_Eingabe'!$B$61)</x:f>
        <x:v>0.5</x:v>
      </x:c>
      <x:c r="T299" s="213" t="n">
        <x:f>IF(B299="Betriebsferien",0,IF(B299="Nebensaison",IF(OR(WEEKDAY(A299,2)=1,WEEKDAY(A299,2)=3,WEEKDAY(A299,2)=5),1,0),IF(C299="Unterwoche",1,0)))</x:f>
        <x:v>0</x:v>
      </x:c>
      <x:c r="U299" s="213" t="n">
        <x:f>IF(B299="Betriebsferien",0,'00_Eingabe'!$G$24)</x:f>
        <x:v>8</x:v>
      </x:c>
    </x:row>
    <x:row r="300">
      <x:c r="A300" s="121" t="n">
        <x:f>IF(ROW()-4&lt;DATE('00_Eingabe'!$B$7+1,1,1)-DATE('00_Eingabe'!$B$7,1,1),DATE('00_Eingabe'!$B$7,1,1)+ROW()-4,"")</x:f>
        <x:v>45954</x:v>
      </x:c>
      <x:c r="B300" s="122" t="str">
        <x:f>IF(A300="","",IF(OR(AND(MONTH(A300)=12,DAY(A300)&gt;=20),AND(MONTH(A300)=1,DAY(A300)&lt;=2)),"Weihnachten",IF(OR(AND(MONTH(A300)=11,DAY(A300)&gt;=24),AND(MONTH(A300)=12,DAY(A300)&lt;=7)),"Betriebsferien",IF(OR(AND(MONTH(A300)=1,DAY(A300)&gt;=3),MONTH(A300)=2,MONTH(A300)=3,MONTH(A300)=4,MONTH(A300)=10,MONTH(A300)=11,AND(MONTH(A300)=12,DAY(A300)&lt;=15)),"Nebensaison","Hauptsaison"))))</x:f>
        <x:v>Nebensaison</x:v>
      </x:c>
      <x:c r="C300" s="122" t="str">
        <x:f>IF(A300="","",IF(WEEKDAY(A300,2)&gt;=6,"Wochenende","Unterwoche"))</x:f>
        <x:v>Unterwoche</x:v>
      </x:c>
      <x:c r="D300" s="123" t="n">
        <x:f>IF(A300="","",IF(N300&lt;&gt;"",N300,IF(B300="Nebensaison",IF(C300="Wochenende",'00_Eingabe'!$C$24,'00_Eingabe'!$B$24),IF(B300="Hauptsaison",IF(C300="Wochenende",'00_Eingabe'!$C$25,'00_Eingabe'!$B$25),IF(B300="Weihnachten",IF(C300="Wochenende",'00_Eingabe'!$C$26,'00_Eingabe'!$B$26),IF(C300="Wochenende",'00_Eingabe'!$C$27,'00_Eingabe'!$B$27))))))</x:f>
        <x:v>0.7</x:v>
      </x:c>
      <x:c r="E300" s="122" t="n">
        <x:f>IF(OR(A300="",D300=""),"",ROUND('00_Eingabe'!$B$8*D300,0))</x:f>
        <x:v>25</x:v>
      </x:c>
      <x:c r="F300" s="122" t="n">
        <x:f>IF(E300="","",ROUND(E300*'00_Eingabe'!$B$18,0))</x:f>
        <x:v>48</x:v>
      </x:c>
      <x:c r="G300" s="123" t="n">
        <x:f>IF(A300="","",IF(O300&lt;&gt;"",O300,IF(B300="Nebensaison",IF(C300="Wochenende",'00_Eingabe'!$E$24,'00_Eingabe'!$D$24),IF(B300="Hauptsaison",IF(C300="Wochenende",'00_Eingabe'!$E$25,'00_Eingabe'!$D$25),IF(B300="Weihnachten",IF(C300="Wochenende",'00_Eingabe'!$E$26,'00_Eingabe'!$D$26),IF(C300="Wochenende",'00_Eingabe'!$E$27,'00_Eingabe'!$D$27))))))</x:f>
        <x:v>0.7</x:v>
      </x:c>
      <x:c r="H300" s="122" t="n">
        <x:f>IF(OR(A300="",G300=""),"",ROUND('00_Eingabe'!$B$9*G300,0))</x:f>
        <x:v>3</x:v>
      </x:c>
      <x:c r="I300" s="122" t="n">
        <x:f>IF(H300="","",ROUND(H300*'00_Eingabe'!$B$19,0))</x:f>
        <x:v>7</x:v>
      </x:c>
      <x:c r="J300" s="122" t="n">
        <x:f>IF(OR(F300="",I300=""),"",F300+I300)</x:f>
        <x:v>55</x:v>
      </x:c>
      <x:c r="K300" s="122" t="n">
        <x:f>IF(J300="","",ROUND(J300*'00_Eingabe'!$B$16*(1+'00_Eingabe'!$B$14),0))</x:f>
        <x:v>63</x:v>
      </x:c>
      <x:c r="L300" s="122" t="n">
        <x:f>IF(B300="Betriebsferien",0,ROUND(J300*'00_Eingabe'!$B$40,0)+IF(C300="Wochenende",'00_Eingabe'!$B$42,'00_Eingabe'!$B$41))</x:f>
        <x:v>55</x:v>
      </x:c>
      <x:c r="M300" s="123" t="n">
        <x:f>IF(J300="","",ROUND(J300*'00_Eingabe'!$B$17*(1+'00_Eingabe'!$B$15),0))</x:f>
        <x:v>63</x:v>
      </x:c>
      <x:c r="N300" s="106"/>
      <x:c r="O300" s="106"/>
      <x:c r="P300" s="116"/>
      <x:c r="Q300" s="213" t="n">
        <x:f>IF(C300="Wochenende",1,0)</x:f>
        <x:v>0</x:v>
      </x:c>
      <x:c r="R300" s="213" t="n">
        <x:f>IF(AND(B300&lt;&gt;"Betriebsferien",OR(WEEKDAY(A300,2)=2,WEEKDAY(A300,2)=4)),1,0)</x:f>
        <x:v>0</x:v>
      </x:c>
      <x:c r="S300" s="214" t="n">
        <x:f>R300*MIN(1,'00_Eingabe'!$B$62/'00_Eingabe'!$B$61)</x:f>
        <x:v>0</x:v>
      </x:c>
      <x:c r="T300" s="213" t="n">
        <x:f>IF(B300="Betriebsferien",0,IF(B300="Nebensaison",IF(OR(WEEKDAY(A300,2)=1,WEEKDAY(A300,2)=3,WEEKDAY(A300,2)=5),1,0),IF(C300="Unterwoche",1,0)))</x:f>
        <x:v>1</x:v>
      </x:c>
      <x:c r="U300" s="213" t="n">
        <x:f>IF(B300="Betriebsferien",0,'00_Eingabe'!$G$24)</x:f>
        <x:v>8</x:v>
      </x:c>
    </x:row>
    <x:row r="301">
      <x:c r="A301" s="121" t="n">
        <x:f>IF(ROW()-4&lt;DATE('00_Eingabe'!$B$7+1,1,1)-DATE('00_Eingabe'!$B$7,1,1),DATE('00_Eingabe'!$B$7,1,1)+ROW()-4,"")</x:f>
        <x:v>45955</x:v>
      </x:c>
      <x:c r="B301" s="122" t="str">
        <x:f>IF(A301="","",IF(OR(AND(MONTH(A301)=12,DAY(A301)&gt;=20),AND(MONTH(A301)=1,DAY(A301)&lt;=2)),"Weihnachten",IF(OR(AND(MONTH(A301)=11,DAY(A301)&gt;=24),AND(MONTH(A301)=12,DAY(A301)&lt;=7)),"Betriebsferien",IF(OR(AND(MONTH(A301)=1,DAY(A301)&gt;=3),MONTH(A301)=2,MONTH(A301)=3,MONTH(A301)=4,MONTH(A301)=10,MONTH(A301)=11,AND(MONTH(A301)=12,DAY(A301)&lt;=15)),"Nebensaison","Hauptsaison"))))</x:f>
        <x:v>Nebensaison</x:v>
      </x:c>
      <x:c r="C301" s="122" t="str">
        <x:f>IF(A301="","",IF(WEEKDAY(A301,2)&gt;=6,"Wochenende","Unterwoche"))</x:f>
        <x:v>Wochenende</x:v>
      </x:c>
      <x:c r="D301" s="123" t="n">
        <x:f>IF(A301="","",IF(N301&lt;&gt;"",N301,IF(B301="Nebensaison",IF(C301="Wochenende",'00_Eingabe'!$C$24,'00_Eingabe'!$B$24),IF(B301="Hauptsaison",IF(C301="Wochenende",'00_Eingabe'!$C$25,'00_Eingabe'!$B$25),IF(B301="Weihnachten",IF(C301="Wochenende",'00_Eingabe'!$C$26,'00_Eingabe'!$B$26),IF(C301="Wochenende",'00_Eingabe'!$C$27,'00_Eingabe'!$B$27))))))</x:f>
        <x:v>0.75</x:v>
      </x:c>
      <x:c r="E301" s="122" t="n">
        <x:f>IF(OR(A301="",D301=""),"",ROUND('00_Eingabe'!$B$8*D301,0))</x:f>
        <x:v>26</x:v>
      </x:c>
      <x:c r="F301" s="122" t="n">
        <x:f>IF(E301="","",ROUND(E301*'00_Eingabe'!$B$18,0))</x:f>
        <x:v>49</x:v>
      </x:c>
      <x:c r="G301" s="123" t="n">
        <x:f>IF(A301="","",IF(O301&lt;&gt;"",O301,IF(B301="Nebensaison",IF(C301="Wochenende",'00_Eingabe'!$E$24,'00_Eingabe'!$D$24),IF(B301="Hauptsaison",IF(C301="Wochenende",'00_Eingabe'!$E$25,'00_Eingabe'!$D$25),IF(B301="Weihnachten",IF(C301="Wochenende",'00_Eingabe'!$E$26,'00_Eingabe'!$D$26),IF(C301="Wochenende",'00_Eingabe'!$E$27,'00_Eingabe'!$D$27))))))</x:f>
        <x:v>0.75</x:v>
      </x:c>
      <x:c r="H301" s="122" t="n">
        <x:f>IF(OR(A301="",G301=""),"",ROUND('00_Eingabe'!$B$9*G301,0))</x:f>
        <x:v>3</x:v>
      </x:c>
      <x:c r="I301" s="122" t="n">
        <x:f>IF(H301="","",ROUND(H301*'00_Eingabe'!$B$19,0))</x:f>
        <x:v>7</x:v>
      </x:c>
      <x:c r="J301" s="122" t="n">
        <x:f>IF(OR(F301="",I301=""),"",F301+I301)</x:f>
        <x:v>56</x:v>
      </x:c>
      <x:c r="K301" s="122" t="n">
        <x:f>IF(J301="","",ROUND(J301*'00_Eingabe'!$B$16*(1+'00_Eingabe'!$B$14),0))</x:f>
        <x:v>64</x:v>
      </x:c>
      <x:c r="L301" s="122" t="n">
        <x:f>IF(B301="Betriebsferien",0,ROUND(J301*'00_Eingabe'!$B$40,0)+IF(C301="Wochenende",'00_Eingabe'!$B$42,'00_Eingabe'!$B$41))</x:f>
        <x:v>80</x:v>
      </x:c>
      <x:c r="M301" s="123" t="n">
        <x:f>IF(J301="","",ROUND(J301*'00_Eingabe'!$B$17*(1+'00_Eingabe'!$B$15),0))</x:f>
        <x:v>64</x:v>
      </x:c>
      <x:c r="N301" s="106"/>
      <x:c r="O301" s="106"/>
      <x:c r="P301" s="116"/>
      <x:c r="Q301" s="213" t="n">
        <x:f>IF(C301="Wochenende",1,0)</x:f>
        <x:v>1</x:v>
      </x:c>
      <x:c r="R301" s="213" t="n">
        <x:f>IF(AND(B301&lt;&gt;"Betriebsferien",OR(WEEKDAY(A301,2)=2,WEEKDAY(A301,2)=4)),1,0)</x:f>
        <x:v>0</x:v>
      </x:c>
      <x:c r="S301" s="214" t="n">
        <x:f>R301*MIN(1,'00_Eingabe'!$B$62/'00_Eingabe'!$B$61)</x:f>
        <x:v>0</x:v>
      </x:c>
      <x:c r="T301" s="213" t="n">
        <x:f>IF(B301="Betriebsferien",0,IF(B301="Nebensaison",IF(OR(WEEKDAY(A301,2)=1,WEEKDAY(A301,2)=3,WEEKDAY(A301,2)=5),1,0),IF(C301="Unterwoche",1,0)))</x:f>
        <x:v>0</x:v>
      </x:c>
      <x:c r="U301" s="213" t="n">
        <x:f>IF(B301="Betriebsferien",0,'00_Eingabe'!$G$24)</x:f>
        <x:v>8</x:v>
      </x:c>
    </x:row>
    <x:row r="302">
      <x:c r="A302" s="121" t="n">
        <x:f>IF(ROW()-4&lt;DATE('00_Eingabe'!$B$7+1,1,1)-DATE('00_Eingabe'!$B$7,1,1),DATE('00_Eingabe'!$B$7,1,1)+ROW()-4,"")</x:f>
        <x:v>45956</x:v>
      </x:c>
      <x:c r="B302" s="122" t="str">
        <x:f>IF(A302="","",IF(OR(AND(MONTH(A302)=12,DAY(A302)&gt;=20),AND(MONTH(A302)=1,DAY(A302)&lt;=2)),"Weihnachten",IF(OR(AND(MONTH(A302)=11,DAY(A302)&gt;=24),AND(MONTH(A302)=12,DAY(A302)&lt;=7)),"Betriebsferien",IF(OR(AND(MONTH(A302)=1,DAY(A302)&gt;=3),MONTH(A302)=2,MONTH(A302)=3,MONTH(A302)=4,MONTH(A302)=10,MONTH(A302)=11,AND(MONTH(A302)=12,DAY(A302)&lt;=15)),"Nebensaison","Hauptsaison"))))</x:f>
        <x:v>Nebensaison</x:v>
      </x:c>
      <x:c r="C302" s="122" t="str">
        <x:f>IF(A302="","",IF(WEEKDAY(A302,2)&gt;=6,"Wochenende","Unterwoche"))</x:f>
        <x:v>Wochenende</x:v>
      </x:c>
      <x:c r="D302" s="123" t="n">
        <x:f>IF(A302="","",IF(N302&lt;&gt;"",N302,IF(B302="Nebensaison",IF(C302="Wochenende",'00_Eingabe'!$C$24,'00_Eingabe'!$B$24),IF(B302="Hauptsaison",IF(C302="Wochenende",'00_Eingabe'!$C$25,'00_Eingabe'!$B$25),IF(B302="Weihnachten",IF(C302="Wochenende",'00_Eingabe'!$C$26,'00_Eingabe'!$B$26),IF(C302="Wochenende",'00_Eingabe'!$C$27,'00_Eingabe'!$B$27))))))</x:f>
        <x:v>0.75</x:v>
      </x:c>
      <x:c r="E302" s="122" t="n">
        <x:f>IF(OR(A302="",D302=""),"",ROUND('00_Eingabe'!$B$8*D302,0))</x:f>
        <x:v>26</x:v>
      </x:c>
      <x:c r="F302" s="122" t="n">
        <x:f>IF(E302="","",ROUND(E302*'00_Eingabe'!$B$18,0))</x:f>
        <x:v>49</x:v>
      </x:c>
      <x:c r="G302" s="123" t="n">
        <x:f>IF(A302="","",IF(O302&lt;&gt;"",O302,IF(B302="Nebensaison",IF(C302="Wochenende",'00_Eingabe'!$E$24,'00_Eingabe'!$D$24),IF(B302="Hauptsaison",IF(C302="Wochenende",'00_Eingabe'!$E$25,'00_Eingabe'!$D$25),IF(B302="Weihnachten",IF(C302="Wochenende",'00_Eingabe'!$E$26,'00_Eingabe'!$D$26),IF(C302="Wochenende",'00_Eingabe'!$E$27,'00_Eingabe'!$D$27))))))</x:f>
        <x:v>0.75</x:v>
      </x:c>
      <x:c r="H302" s="122" t="n">
        <x:f>IF(OR(A302="",G302=""),"",ROUND('00_Eingabe'!$B$9*G302,0))</x:f>
        <x:v>3</x:v>
      </x:c>
      <x:c r="I302" s="122" t="n">
        <x:f>IF(H302="","",ROUND(H302*'00_Eingabe'!$B$19,0))</x:f>
        <x:v>7</x:v>
      </x:c>
      <x:c r="J302" s="122" t="n">
        <x:f>IF(OR(F302="",I302=""),"",F302+I302)</x:f>
        <x:v>56</x:v>
      </x:c>
      <x:c r="K302" s="122" t="n">
        <x:f>IF(J302="","",ROUND(J302*'00_Eingabe'!$B$16*(1+'00_Eingabe'!$B$14),0))</x:f>
        <x:v>64</x:v>
      </x:c>
      <x:c r="L302" s="122" t="n">
        <x:f>IF(B302="Betriebsferien",0,ROUND(J302*'00_Eingabe'!$B$40,0)+IF(C302="Wochenende",'00_Eingabe'!$B$42,'00_Eingabe'!$B$41))</x:f>
        <x:v>80</x:v>
      </x:c>
      <x:c r="M302" s="123" t="n">
        <x:f>IF(J302="","",ROUND(J302*'00_Eingabe'!$B$17*(1+'00_Eingabe'!$B$15),0))</x:f>
        <x:v>64</x:v>
      </x:c>
      <x:c r="N302" s="106"/>
      <x:c r="O302" s="106"/>
      <x:c r="P302" s="116"/>
      <x:c r="Q302" s="213" t="n">
        <x:f>IF(C302="Wochenende",1,0)</x:f>
        <x:v>1</x:v>
      </x:c>
      <x:c r="R302" s="213" t="n">
        <x:f>IF(AND(B302&lt;&gt;"Betriebsferien",OR(WEEKDAY(A302,2)=2,WEEKDAY(A302,2)=4)),1,0)</x:f>
        <x:v>0</x:v>
      </x:c>
      <x:c r="S302" s="214" t="n">
        <x:f>R302*MIN(1,'00_Eingabe'!$B$62/'00_Eingabe'!$B$61)</x:f>
        <x:v>0</x:v>
      </x:c>
      <x:c r="T302" s="213" t="n">
        <x:f>IF(B302="Betriebsferien",0,IF(B302="Nebensaison",IF(OR(WEEKDAY(A302,2)=1,WEEKDAY(A302,2)=3,WEEKDAY(A302,2)=5),1,0),IF(C302="Unterwoche",1,0)))</x:f>
        <x:v>0</x:v>
      </x:c>
      <x:c r="U302" s="213" t="n">
        <x:f>IF(B302="Betriebsferien",0,'00_Eingabe'!$G$24)</x:f>
        <x:v>8</x:v>
      </x:c>
    </x:row>
    <x:row r="303">
      <x:c r="A303" s="121" t="n">
        <x:f>IF(ROW()-4&lt;DATE('00_Eingabe'!$B$7+1,1,1)-DATE('00_Eingabe'!$B$7,1,1),DATE('00_Eingabe'!$B$7,1,1)+ROW()-4,"")</x:f>
        <x:v>45957</x:v>
      </x:c>
      <x:c r="B303" s="122" t="str">
        <x:f>IF(A303="","",IF(OR(AND(MONTH(A303)=12,DAY(A303)&gt;=20),AND(MONTH(A303)=1,DAY(A303)&lt;=2)),"Weihnachten",IF(OR(AND(MONTH(A303)=11,DAY(A303)&gt;=24),AND(MONTH(A303)=12,DAY(A303)&lt;=7)),"Betriebsferien",IF(OR(AND(MONTH(A303)=1,DAY(A303)&gt;=3),MONTH(A303)=2,MONTH(A303)=3,MONTH(A303)=4,MONTH(A303)=10,MONTH(A303)=11,AND(MONTH(A303)=12,DAY(A303)&lt;=15)),"Nebensaison","Hauptsaison"))))</x:f>
        <x:v>Nebensaison</x:v>
      </x:c>
      <x:c r="C303" s="122" t="str">
        <x:f>IF(A303="","",IF(WEEKDAY(A303,2)&gt;=6,"Wochenende","Unterwoche"))</x:f>
        <x:v>Unterwoche</x:v>
      </x:c>
      <x:c r="D303" s="123" t="n">
        <x:f>IF(A303="","",IF(N303&lt;&gt;"",N303,IF(B303="Nebensaison",IF(C303="Wochenende",'00_Eingabe'!$C$24,'00_Eingabe'!$B$24),IF(B303="Hauptsaison",IF(C303="Wochenende",'00_Eingabe'!$C$25,'00_Eingabe'!$B$25),IF(B303="Weihnachten",IF(C303="Wochenende",'00_Eingabe'!$C$26,'00_Eingabe'!$B$26),IF(C303="Wochenende",'00_Eingabe'!$C$27,'00_Eingabe'!$B$27))))))</x:f>
        <x:v>0.7</x:v>
      </x:c>
      <x:c r="E303" s="122" t="n">
        <x:f>IF(OR(A303="",D303=""),"",ROUND('00_Eingabe'!$B$8*D303,0))</x:f>
        <x:v>25</x:v>
      </x:c>
      <x:c r="F303" s="122" t="n">
        <x:f>IF(E303="","",ROUND(E303*'00_Eingabe'!$B$18,0))</x:f>
        <x:v>48</x:v>
      </x:c>
      <x:c r="G303" s="123" t="n">
        <x:f>IF(A303="","",IF(O303&lt;&gt;"",O303,IF(B303="Nebensaison",IF(C303="Wochenende",'00_Eingabe'!$E$24,'00_Eingabe'!$D$24),IF(B303="Hauptsaison",IF(C303="Wochenende",'00_Eingabe'!$E$25,'00_Eingabe'!$D$25),IF(B303="Weihnachten",IF(C303="Wochenende",'00_Eingabe'!$E$26,'00_Eingabe'!$D$26),IF(C303="Wochenende",'00_Eingabe'!$E$27,'00_Eingabe'!$D$27))))))</x:f>
        <x:v>0.7</x:v>
      </x:c>
      <x:c r="H303" s="122" t="n">
        <x:f>IF(OR(A303="",G303=""),"",ROUND('00_Eingabe'!$B$9*G303,0))</x:f>
        <x:v>3</x:v>
      </x:c>
      <x:c r="I303" s="122" t="n">
        <x:f>IF(H303="","",ROUND(H303*'00_Eingabe'!$B$19,0))</x:f>
        <x:v>7</x:v>
      </x:c>
      <x:c r="J303" s="122" t="n">
        <x:f>IF(OR(F303="",I303=""),"",F303+I303)</x:f>
        <x:v>55</x:v>
      </x:c>
      <x:c r="K303" s="122" t="n">
        <x:f>IF(J303="","",ROUND(J303*'00_Eingabe'!$B$16*(1+'00_Eingabe'!$B$14),0))</x:f>
        <x:v>63</x:v>
      </x:c>
      <x:c r="L303" s="122" t="n">
        <x:f>IF(B303="Betriebsferien",0,ROUND(J303*'00_Eingabe'!$B$40,0)+IF(C303="Wochenende",'00_Eingabe'!$B$42,'00_Eingabe'!$B$41))</x:f>
        <x:v>55</x:v>
      </x:c>
      <x:c r="M303" s="123" t="n">
        <x:f>IF(J303="","",ROUND(J303*'00_Eingabe'!$B$17*(1+'00_Eingabe'!$B$15),0))</x:f>
        <x:v>63</x:v>
      </x:c>
      <x:c r="N303" s="106"/>
      <x:c r="O303" s="106"/>
      <x:c r="P303" s="116"/>
      <x:c r="Q303" s="213" t="n">
        <x:f>IF(C303="Wochenende",1,0)</x:f>
        <x:v>0</x:v>
      </x:c>
      <x:c r="R303" s="213" t="n">
        <x:f>IF(AND(B303&lt;&gt;"Betriebsferien",OR(WEEKDAY(A303,2)=2,WEEKDAY(A303,2)=4)),1,0)</x:f>
        <x:v>0</x:v>
      </x:c>
      <x:c r="S303" s="214" t="n">
        <x:f>R303*MIN(1,'00_Eingabe'!$B$62/'00_Eingabe'!$B$61)</x:f>
        <x:v>0</x:v>
      </x:c>
      <x:c r="T303" s="213" t="n">
        <x:f>IF(B303="Betriebsferien",0,IF(B303="Nebensaison",IF(OR(WEEKDAY(A303,2)=1,WEEKDAY(A303,2)=3,WEEKDAY(A303,2)=5),1,0),IF(C303="Unterwoche",1,0)))</x:f>
        <x:v>1</x:v>
      </x:c>
      <x:c r="U303" s="213" t="n">
        <x:f>IF(B303="Betriebsferien",0,'00_Eingabe'!$G$24)</x:f>
        <x:v>8</x:v>
      </x:c>
    </x:row>
    <x:row r="304">
      <x:c r="A304" s="121" t="n">
        <x:f>IF(ROW()-4&lt;DATE('00_Eingabe'!$B$7+1,1,1)-DATE('00_Eingabe'!$B$7,1,1),DATE('00_Eingabe'!$B$7,1,1)+ROW()-4,"")</x:f>
        <x:v>45958</x:v>
      </x:c>
      <x:c r="B304" s="122" t="str">
        <x:f>IF(A304="","",IF(OR(AND(MONTH(A304)=12,DAY(A304)&gt;=20),AND(MONTH(A304)=1,DAY(A304)&lt;=2)),"Weihnachten",IF(OR(AND(MONTH(A304)=11,DAY(A304)&gt;=24),AND(MONTH(A304)=12,DAY(A304)&lt;=7)),"Betriebsferien",IF(OR(AND(MONTH(A304)=1,DAY(A304)&gt;=3),MONTH(A304)=2,MONTH(A304)=3,MONTH(A304)=4,MONTH(A304)=10,MONTH(A304)=11,AND(MONTH(A304)=12,DAY(A304)&lt;=15)),"Nebensaison","Hauptsaison"))))</x:f>
        <x:v>Nebensaison</x:v>
      </x:c>
      <x:c r="C304" s="122" t="str">
        <x:f>IF(A304="","",IF(WEEKDAY(A304,2)&gt;=6,"Wochenende","Unterwoche"))</x:f>
        <x:v>Unterwoche</x:v>
      </x:c>
      <x:c r="D304" s="123" t="n">
        <x:f>IF(A304="","",IF(N304&lt;&gt;"",N304,IF(B304="Nebensaison",IF(C304="Wochenende",'00_Eingabe'!$C$24,'00_Eingabe'!$B$24),IF(B304="Hauptsaison",IF(C304="Wochenende",'00_Eingabe'!$C$25,'00_Eingabe'!$B$25),IF(B304="Weihnachten",IF(C304="Wochenende",'00_Eingabe'!$C$26,'00_Eingabe'!$B$26),IF(C304="Wochenende",'00_Eingabe'!$C$27,'00_Eingabe'!$B$27))))))</x:f>
        <x:v>0.7</x:v>
      </x:c>
      <x:c r="E304" s="122" t="n">
        <x:f>IF(OR(A304="",D304=""),"",ROUND('00_Eingabe'!$B$8*D304,0))</x:f>
        <x:v>25</x:v>
      </x:c>
      <x:c r="F304" s="122" t="n">
        <x:f>IF(E304="","",ROUND(E304*'00_Eingabe'!$B$18,0))</x:f>
        <x:v>48</x:v>
      </x:c>
      <x:c r="G304" s="123" t="n">
        <x:f>IF(A304="","",IF(O304&lt;&gt;"",O304,IF(B304="Nebensaison",IF(C304="Wochenende",'00_Eingabe'!$E$24,'00_Eingabe'!$D$24),IF(B304="Hauptsaison",IF(C304="Wochenende",'00_Eingabe'!$E$25,'00_Eingabe'!$D$25),IF(B304="Weihnachten",IF(C304="Wochenende",'00_Eingabe'!$E$26,'00_Eingabe'!$D$26),IF(C304="Wochenende",'00_Eingabe'!$E$27,'00_Eingabe'!$D$27))))))</x:f>
        <x:v>0.7</x:v>
      </x:c>
      <x:c r="H304" s="122" t="n">
        <x:f>IF(OR(A304="",G304=""),"",ROUND('00_Eingabe'!$B$9*G304,0))</x:f>
        <x:v>3</x:v>
      </x:c>
      <x:c r="I304" s="122" t="n">
        <x:f>IF(H304="","",ROUND(H304*'00_Eingabe'!$B$19,0))</x:f>
        <x:v>7</x:v>
      </x:c>
      <x:c r="J304" s="122" t="n">
        <x:f>IF(OR(F304="",I304=""),"",F304+I304)</x:f>
        <x:v>55</x:v>
      </x:c>
      <x:c r="K304" s="122" t="n">
        <x:f>IF(J304="","",ROUND(J304*'00_Eingabe'!$B$16*(1+'00_Eingabe'!$B$14),0))</x:f>
        <x:v>63</x:v>
      </x:c>
      <x:c r="L304" s="122" t="n">
        <x:f>IF(B304="Betriebsferien",0,ROUND(J304*'00_Eingabe'!$B$40,0)+IF(C304="Wochenende",'00_Eingabe'!$B$42,'00_Eingabe'!$B$41))</x:f>
        <x:v>55</x:v>
      </x:c>
      <x:c r="M304" s="123" t="n">
        <x:f>IF(J304="","",ROUND(J304*'00_Eingabe'!$B$17*(1+'00_Eingabe'!$B$15),0))</x:f>
        <x:v>63</x:v>
      </x:c>
      <x:c r="N304" s="106"/>
      <x:c r="O304" s="106"/>
      <x:c r="P304" s="116"/>
      <x:c r="Q304" s="213" t="n">
        <x:f>IF(C304="Wochenende",1,0)</x:f>
        <x:v>0</x:v>
      </x:c>
      <x:c r="R304" s="213" t="n">
        <x:f>IF(AND(B304&lt;&gt;"Betriebsferien",OR(WEEKDAY(A304,2)=2,WEEKDAY(A304,2)=4)),1,0)</x:f>
        <x:v>1</x:v>
      </x:c>
      <x:c r="S304" s="214" t="n">
        <x:f>R304*MIN(1,'00_Eingabe'!$B$62/'00_Eingabe'!$B$61)</x:f>
        <x:v>0.5</x:v>
      </x:c>
      <x:c r="T304" s="213" t="n">
        <x:f>IF(B304="Betriebsferien",0,IF(B304="Nebensaison",IF(OR(WEEKDAY(A304,2)=1,WEEKDAY(A304,2)=3,WEEKDAY(A304,2)=5),1,0),IF(C304="Unterwoche",1,0)))</x:f>
        <x:v>0</x:v>
      </x:c>
      <x:c r="U304" s="213" t="n">
        <x:f>IF(B304="Betriebsferien",0,'00_Eingabe'!$G$24)</x:f>
        <x:v>8</x:v>
      </x:c>
    </x:row>
    <x:row r="305">
      <x:c r="A305" s="121" t="n">
        <x:f>IF(ROW()-4&lt;DATE('00_Eingabe'!$B$7+1,1,1)-DATE('00_Eingabe'!$B$7,1,1),DATE('00_Eingabe'!$B$7,1,1)+ROW()-4,"")</x:f>
        <x:v>45959</x:v>
      </x:c>
      <x:c r="B305" s="122" t="str">
        <x:f>IF(A305="","",IF(OR(AND(MONTH(A305)=12,DAY(A305)&gt;=20),AND(MONTH(A305)=1,DAY(A305)&lt;=2)),"Weihnachten",IF(OR(AND(MONTH(A305)=11,DAY(A305)&gt;=24),AND(MONTH(A305)=12,DAY(A305)&lt;=7)),"Betriebsferien",IF(OR(AND(MONTH(A305)=1,DAY(A305)&gt;=3),MONTH(A305)=2,MONTH(A305)=3,MONTH(A305)=4,MONTH(A305)=10,MONTH(A305)=11,AND(MONTH(A305)=12,DAY(A305)&lt;=15)),"Nebensaison","Hauptsaison"))))</x:f>
        <x:v>Nebensaison</x:v>
      </x:c>
      <x:c r="C305" s="122" t="str">
        <x:f>IF(A305="","",IF(WEEKDAY(A305,2)&gt;=6,"Wochenende","Unterwoche"))</x:f>
        <x:v>Unterwoche</x:v>
      </x:c>
      <x:c r="D305" s="123" t="n">
        <x:f>IF(A305="","",IF(N305&lt;&gt;"",N305,IF(B305="Nebensaison",IF(C305="Wochenende",'00_Eingabe'!$C$24,'00_Eingabe'!$B$24),IF(B305="Hauptsaison",IF(C305="Wochenende",'00_Eingabe'!$C$25,'00_Eingabe'!$B$25),IF(B305="Weihnachten",IF(C305="Wochenende",'00_Eingabe'!$C$26,'00_Eingabe'!$B$26),IF(C305="Wochenende",'00_Eingabe'!$C$27,'00_Eingabe'!$B$27))))))</x:f>
        <x:v>0.7</x:v>
      </x:c>
      <x:c r="E305" s="122" t="n">
        <x:f>IF(OR(A305="",D305=""),"",ROUND('00_Eingabe'!$B$8*D305,0))</x:f>
        <x:v>25</x:v>
      </x:c>
      <x:c r="F305" s="122" t="n">
        <x:f>IF(E305="","",ROUND(E305*'00_Eingabe'!$B$18,0))</x:f>
        <x:v>48</x:v>
      </x:c>
      <x:c r="G305" s="123" t="n">
        <x:f>IF(A305="","",IF(O305&lt;&gt;"",O305,IF(B305="Nebensaison",IF(C305="Wochenende",'00_Eingabe'!$E$24,'00_Eingabe'!$D$24),IF(B305="Hauptsaison",IF(C305="Wochenende",'00_Eingabe'!$E$25,'00_Eingabe'!$D$25),IF(B305="Weihnachten",IF(C305="Wochenende",'00_Eingabe'!$E$26,'00_Eingabe'!$D$26),IF(C305="Wochenende",'00_Eingabe'!$E$27,'00_Eingabe'!$D$27))))))</x:f>
        <x:v>0.7</x:v>
      </x:c>
      <x:c r="H305" s="122" t="n">
        <x:f>IF(OR(A305="",G305=""),"",ROUND('00_Eingabe'!$B$9*G305,0))</x:f>
        <x:v>3</x:v>
      </x:c>
      <x:c r="I305" s="122" t="n">
        <x:f>IF(H305="","",ROUND(H305*'00_Eingabe'!$B$19,0))</x:f>
        <x:v>7</x:v>
      </x:c>
      <x:c r="J305" s="122" t="n">
        <x:f>IF(OR(F305="",I305=""),"",F305+I305)</x:f>
        <x:v>55</x:v>
      </x:c>
      <x:c r="K305" s="122" t="n">
        <x:f>IF(J305="","",ROUND(J305*'00_Eingabe'!$B$16*(1+'00_Eingabe'!$B$14),0))</x:f>
        <x:v>63</x:v>
      </x:c>
      <x:c r="L305" s="122" t="n">
        <x:f>IF(B305="Betriebsferien",0,ROUND(J305*'00_Eingabe'!$B$40,0)+IF(C305="Wochenende",'00_Eingabe'!$B$42,'00_Eingabe'!$B$41))</x:f>
        <x:v>55</x:v>
      </x:c>
      <x:c r="M305" s="123" t="n">
        <x:f>IF(J305="","",ROUND(J305*'00_Eingabe'!$B$17*(1+'00_Eingabe'!$B$15),0))</x:f>
        <x:v>63</x:v>
      </x:c>
      <x:c r="N305" s="106"/>
      <x:c r="O305" s="106"/>
      <x:c r="P305" s="116"/>
      <x:c r="Q305" s="213" t="n">
        <x:f>IF(C305="Wochenende",1,0)</x:f>
        <x:v>0</x:v>
      </x:c>
      <x:c r="R305" s="213" t="n">
        <x:f>IF(AND(B305&lt;&gt;"Betriebsferien",OR(WEEKDAY(A305,2)=2,WEEKDAY(A305,2)=4)),1,0)</x:f>
        <x:v>0</x:v>
      </x:c>
      <x:c r="S305" s="214" t="n">
        <x:f>R305*MIN(1,'00_Eingabe'!$B$62/'00_Eingabe'!$B$61)</x:f>
        <x:v>0</x:v>
      </x:c>
      <x:c r="T305" s="213" t="n">
        <x:f>IF(B305="Betriebsferien",0,IF(B305="Nebensaison",IF(OR(WEEKDAY(A305,2)=1,WEEKDAY(A305,2)=3,WEEKDAY(A305,2)=5),1,0),IF(C305="Unterwoche",1,0)))</x:f>
        <x:v>1</x:v>
      </x:c>
      <x:c r="U305" s="213" t="n">
        <x:f>IF(B305="Betriebsferien",0,'00_Eingabe'!$G$24)</x:f>
        <x:v>8</x:v>
      </x:c>
    </x:row>
    <x:row r="306">
      <x:c r="A306" s="121" t="n">
        <x:f>IF(ROW()-4&lt;DATE('00_Eingabe'!$B$7+1,1,1)-DATE('00_Eingabe'!$B$7,1,1),DATE('00_Eingabe'!$B$7,1,1)+ROW()-4,"")</x:f>
        <x:v>45960</x:v>
      </x:c>
      <x:c r="B306" s="122" t="str">
        <x:f>IF(A306="","",IF(OR(AND(MONTH(A306)=12,DAY(A306)&gt;=20),AND(MONTH(A306)=1,DAY(A306)&lt;=2)),"Weihnachten",IF(OR(AND(MONTH(A306)=11,DAY(A306)&gt;=24),AND(MONTH(A306)=12,DAY(A306)&lt;=7)),"Betriebsferien",IF(OR(AND(MONTH(A306)=1,DAY(A306)&gt;=3),MONTH(A306)=2,MONTH(A306)=3,MONTH(A306)=4,MONTH(A306)=10,MONTH(A306)=11,AND(MONTH(A306)=12,DAY(A306)&lt;=15)),"Nebensaison","Hauptsaison"))))</x:f>
        <x:v>Nebensaison</x:v>
      </x:c>
      <x:c r="C306" s="122" t="str">
        <x:f>IF(A306="","",IF(WEEKDAY(A306,2)&gt;=6,"Wochenende","Unterwoche"))</x:f>
        <x:v>Unterwoche</x:v>
      </x:c>
      <x:c r="D306" s="123" t="n">
        <x:f>IF(A306="","",IF(N306&lt;&gt;"",N306,IF(B306="Nebensaison",IF(C306="Wochenende",'00_Eingabe'!$C$24,'00_Eingabe'!$B$24),IF(B306="Hauptsaison",IF(C306="Wochenende",'00_Eingabe'!$C$25,'00_Eingabe'!$B$25),IF(B306="Weihnachten",IF(C306="Wochenende",'00_Eingabe'!$C$26,'00_Eingabe'!$B$26),IF(C306="Wochenende",'00_Eingabe'!$C$27,'00_Eingabe'!$B$27))))))</x:f>
        <x:v>0.7</x:v>
      </x:c>
      <x:c r="E306" s="122" t="n">
        <x:f>IF(OR(A306="",D306=""),"",ROUND('00_Eingabe'!$B$8*D306,0))</x:f>
        <x:v>25</x:v>
      </x:c>
      <x:c r="F306" s="122" t="n">
        <x:f>IF(E306="","",ROUND(E306*'00_Eingabe'!$B$18,0))</x:f>
        <x:v>48</x:v>
      </x:c>
      <x:c r="G306" s="123" t="n">
        <x:f>IF(A306="","",IF(O306&lt;&gt;"",O306,IF(B306="Nebensaison",IF(C306="Wochenende",'00_Eingabe'!$E$24,'00_Eingabe'!$D$24),IF(B306="Hauptsaison",IF(C306="Wochenende",'00_Eingabe'!$E$25,'00_Eingabe'!$D$25),IF(B306="Weihnachten",IF(C306="Wochenende",'00_Eingabe'!$E$26,'00_Eingabe'!$D$26),IF(C306="Wochenende",'00_Eingabe'!$E$27,'00_Eingabe'!$D$27))))))</x:f>
        <x:v>0.7</x:v>
      </x:c>
      <x:c r="H306" s="122" t="n">
        <x:f>IF(OR(A306="",G306=""),"",ROUND('00_Eingabe'!$B$9*G306,0))</x:f>
        <x:v>3</x:v>
      </x:c>
      <x:c r="I306" s="122" t="n">
        <x:f>IF(H306="","",ROUND(H306*'00_Eingabe'!$B$19,0))</x:f>
        <x:v>7</x:v>
      </x:c>
      <x:c r="J306" s="122" t="n">
        <x:f>IF(OR(F306="",I306=""),"",F306+I306)</x:f>
        <x:v>55</x:v>
      </x:c>
      <x:c r="K306" s="122" t="n">
        <x:f>IF(J306="","",ROUND(J306*'00_Eingabe'!$B$16*(1+'00_Eingabe'!$B$14),0))</x:f>
        <x:v>63</x:v>
      </x:c>
      <x:c r="L306" s="122" t="n">
        <x:f>IF(B306="Betriebsferien",0,ROUND(J306*'00_Eingabe'!$B$40,0)+IF(C306="Wochenende",'00_Eingabe'!$B$42,'00_Eingabe'!$B$41))</x:f>
        <x:v>55</x:v>
      </x:c>
      <x:c r="M306" s="123" t="n">
        <x:f>IF(J306="","",ROUND(J306*'00_Eingabe'!$B$17*(1+'00_Eingabe'!$B$15),0))</x:f>
        <x:v>63</x:v>
      </x:c>
      <x:c r="N306" s="106"/>
      <x:c r="O306" s="106"/>
      <x:c r="P306" s="116"/>
      <x:c r="Q306" s="213" t="n">
        <x:f>IF(C306="Wochenende",1,0)</x:f>
        <x:v>0</x:v>
      </x:c>
      <x:c r="R306" s="213" t="n">
        <x:f>IF(AND(B306&lt;&gt;"Betriebsferien",OR(WEEKDAY(A306,2)=2,WEEKDAY(A306,2)=4)),1,0)</x:f>
        <x:v>1</x:v>
      </x:c>
      <x:c r="S306" s="214" t="n">
        <x:f>R306*MIN(1,'00_Eingabe'!$B$62/'00_Eingabe'!$B$61)</x:f>
        <x:v>0.5</x:v>
      </x:c>
      <x:c r="T306" s="213" t="n">
        <x:f>IF(B306="Betriebsferien",0,IF(B306="Nebensaison",IF(OR(WEEKDAY(A306,2)=1,WEEKDAY(A306,2)=3,WEEKDAY(A306,2)=5),1,0),IF(C306="Unterwoche",1,0)))</x:f>
        <x:v>0</x:v>
      </x:c>
      <x:c r="U306" s="213" t="n">
        <x:f>IF(B306="Betriebsferien",0,'00_Eingabe'!$G$24)</x:f>
        <x:v>8</x:v>
      </x:c>
    </x:row>
    <x:row r="307">
      <x:c r="A307" s="121" t="n">
        <x:f>IF(ROW()-4&lt;DATE('00_Eingabe'!$B$7+1,1,1)-DATE('00_Eingabe'!$B$7,1,1),DATE('00_Eingabe'!$B$7,1,1)+ROW()-4,"")</x:f>
        <x:v>45961</x:v>
      </x:c>
      <x:c r="B307" s="122" t="str">
        <x:f>IF(A307="","",IF(OR(AND(MONTH(A307)=12,DAY(A307)&gt;=20),AND(MONTH(A307)=1,DAY(A307)&lt;=2)),"Weihnachten",IF(OR(AND(MONTH(A307)=11,DAY(A307)&gt;=24),AND(MONTH(A307)=12,DAY(A307)&lt;=7)),"Betriebsferien",IF(OR(AND(MONTH(A307)=1,DAY(A307)&gt;=3),MONTH(A307)=2,MONTH(A307)=3,MONTH(A307)=4,MONTH(A307)=10,MONTH(A307)=11,AND(MONTH(A307)=12,DAY(A307)&lt;=15)),"Nebensaison","Hauptsaison"))))</x:f>
        <x:v>Nebensaison</x:v>
      </x:c>
      <x:c r="C307" s="122" t="str">
        <x:f>IF(A307="","",IF(WEEKDAY(A307,2)&gt;=6,"Wochenende","Unterwoche"))</x:f>
        <x:v>Unterwoche</x:v>
      </x:c>
      <x:c r="D307" s="123" t="n">
        <x:f>IF(A307="","",IF(N307&lt;&gt;"",N307,IF(B307="Nebensaison",IF(C307="Wochenende",'00_Eingabe'!$C$24,'00_Eingabe'!$B$24),IF(B307="Hauptsaison",IF(C307="Wochenende",'00_Eingabe'!$C$25,'00_Eingabe'!$B$25),IF(B307="Weihnachten",IF(C307="Wochenende",'00_Eingabe'!$C$26,'00_Eingabe'!$B$26),IF(C307="Wochenende",'00_Eingabe'!$C$27,'00_Eingabe'!$B$27))))))</x:f>
        <x:v>0.7</x:v>
      </x:c>
      <x:c r="E307" s="122" t="n">
        <x:f>IF(OR(A307="",D307=""),"",ROUND('00_Eingabe'!$B$8*D307,0))</x:f>
        <x:v>25</x:v>
      </x:c>
      <x:c r="F307" s="122" t="n">
        <x:f>IF(E307="","",ROUND(E307*'00_Eingabe'!$B$18,0))</x:f>
        <x:v>48</x:v>
      </x:c>
      <x:c r="G307" s="123" t="n">
        <x:f>IF(A307="","",IF(O307&lt;&gt;"",O307,IF(B307="Nebensaison",IF(C307="Wochenende",'00_Eingabe'!$E$24,'00_Eingabe'!$D$24),IF(B307="Hauptsaison",IF(C307="Wochenende",'00_Eingabe'!$E$25,'00_Eingabe'!$D$25),IF(B307="Weihnachten",IF(C307="Wochenende",'00_Eingabe'!$E$26,'00_Eingabe'!$D$26),IF(C307="Wochenende",'00_Eingabe'!$E$27,'00_Eingabe'!$D$27))))))</x:f>
        <x:v>0.7</x:v>
      </x:c>
      <x:c r="H307" s="122" t="n">
        <x:f>IF(OR(A307="",G307=""),"",ROUND('00_Eingabe'!$B$9*G307,0))</x:f>
        <x:v>3</x:v>
      </x:c>
      <x:c r="I307" s="122" t="n">
        <x:f>IF(H307="","",ROUND(H307*'00_Eingabe'!$B$19,0))</x:f>
        <x:v>7</x:v>
      </x:c>
      <x:c r="J307" s="122" t="n">
        <x:f>IF(OR(F307="",I307=""),"",F307+I307)</x:f>
        <x:v>55</x:v>
      </x:c>
      <x:c r="K307" s="122" t="n">
        <x:f>IF(J307="","",ROUND(J307*'00_Eingabe'!$B$16*(1+'00_Eingabe'!$B$14),0))</x:f>
        <x:v>63</x:v>
      </x:c>
      <x:c r="L307" s="122" t="n">
        <x:f>IF(B307="Betriebsferien",0,ROUND(J307*'00_Eingabe'!$B$40,0)+IF(C307="Wochenende",'00_Eingabe'!$B$42,'00_Eingabe'!$B$41))</x:f>
        <x:v>55</x:v>
      </x:c>
      <x:c r="M307" s="123" t="n">
        <x:f>IF(J307="","",ROUND(J307*'00_Eingabe'!$B$17*(1+'00_Eingabe'!$B$15),0))</x:f>
        <x:v>63</x:v>
      </x:c>
      <x:c r="N307" s="106"/>
      <x:c r="O307" s="106"/>
      <x:c r="P307" s="116"/>
      <x:c r="Q307" s="213" t="n">
        <x:f>IF(C307="Wochenende",1,0)</x:f>
        <x:v>0</x:v>
      </x:c>
      <x:c r="R307" s="213" t="n">
        <x:f>IF(AND(B307&lt;&gt;"Betriebsferien",OR(WEEKDAY(A307,2)=2,WEEKDAY(A307,2)=4)),1,0)</x:f>
        <x:v>0</x:v>
      </x:c>
      <x:c r="S307" s="214" t="n">
        <x:f>R307*MIN(1,'00_Eingabe'!$B$62/'00_Eingabe'!$B$61)</x:f>
        <x:v>0</x:v>
      </x:c>
      <x:c r="T307" s="213" t="n">
        <x:f>IF(B307="Betriebsferien",0,IF(B307="Nebensaison",IF(OR(WEEKDAY(A307,2)=1,WEEKDAY(A307,2)=3,WEEKDAY(A307,2)=5),1,0),IF(C307="Unterwoche",1,0)))</x:f>
        <x:v>1</x:v>
      </x:c>
      <x:c r="U307" s="213" t="n">
        <x:f>IF(B307="Betriebsferien",0,'00_Eingabe'!$G$24)</x:f>
        <x:v>8</x:v>
      </x:c>
    </x:row>
    <x:row r="308">
      <x:c r="A308" s="121" t="n">
        <x:f>IF(ROW()-4&lt;DATE('00_Eingabe'!$B$7+1,1,1)-DATE('00_Eingabe'!$B$7,1,1),DATE('00_Eingabe'!$B$7,1,1)+ROW()-4,"")</x:f>
        <x:v>45962</x:v>
      </x:c>
      <x:c r="B308" s="122" t="str">
        <x:f>IF(A308="","",IF(OR(AND(MONTH(A308)=12,DAY(A308)&gt;=20),AND(MONTH(A308)=1,DAY(A308)&lt;=2)),"Weihnachten",IF(OR(AND(MONTH(A308)=11,DAY(A308)&gt;=24),AND(MONTH(A308)=12,DAY(A308)&lt;=7)),"Betriebsferien",IF(OR(AND(MONTH(A308)=1,DAY(A308)&gt;=3),MONTH(A308)=2,MONTH(A308)=3,MONTH(A308)=4,MONTH(A308)=10,MONTH(A308)=11,AND(MONTH(A308)=12,DAY(A308)&lt;=15)),"Nebensaison","Hauptsaison"))))</x:f>
        <x:v>Nebensaison</x:v>
      </x:c>
      <x:c r="C308" s="122" t="str">
        <x:f>IF(A308="","",IF(WEEKDAY(A308,2)&gt;=6,"Wochenende","Unterwoche"))</x:f>
        <x:v>Wochenende</x:v>
      </x:c>
      <x:c r="D308" s="123" t="n">
        <x:f>IF(A308="","",IF(N308&lt;&gt;"",N308,IF(B308="Nebensaison",IF(C308="Wochenende",'00_Eingabe'!$C$24,'00_Eingabe'!$B$24),IF(B308="Hauptsaison",IF(C308="Wochenende",'00_Eingabe'!$C$25,'00_Eingabe'!$B$25),IF(B308="Weihnachten",IF(C308="Wochenende",'00_Eingabe'!$C$26,'00_Eingabe'!$B$26),IF(C308="Wochenende",'00_Eingabe'!$C$27,'00_Eingabe'!$B$27))))))</x:f>
        <x:v>0.75</x:v>
      </x:c>
      <x:c r="E308" s="122" t="n">
        <x:f>IF(OR(A308="",D308=""),"",ROUND('00_Eingabe'!$B$8*D308,0))</x:f>
        <x:v>26</x:v>
      </x:c>
      <x:c r="F308" s="122" t="n">
        <x:f>IF(E308="","",ROUND(E308*'00_Eingabe'!$B$18,0))</x:f>
        <x:v>49</x:v>
      </x:c>
      <x:c r="G308" s="123" t="n">
        <x:f>IF(A308="","",IF(O308&lt;&gt;"",O308,IF(B308="Nebensaison",IF(C308="Wochenende",'00_Eingabe'!$E$24,'00_Eingabe'!$D$24),IF(B308="Hauptsaison",IF(C308="Wochenende",'00_Eingabe'!$E$25,'00_Eingabe'!$D$25),IF(B308="Weihnachten",IF(C308="Wochenende",'00_Eingabe'!$E$26,'00_Eingabe'!$D$26),IF(C308="Wochenende",'00_Eingabe'!$E$27,'00_Eingabe'!$D$27))))))</x:f>
        <x:v>0.75</x:v>
      </x:c>
      <x:c r="H308" s="122" t="n">
        <x:f>IF(OR(A308="",G308=""),"",ROUND('00_Eingabe'!$B$9*G308,0))</x:f>
        <x:v>3</x:v>
      </x:c>
      <x:c r="I308" s="122" t="n">
        <x:f>IF(H308="","",ROUND(H308*'00_Eingabe'!$B$19,0))</x:f>
        <x:v>7</x:v>
      </x:c>
      <x:c r="J308" s="122" t="n">
        <x:f>IF(OR(F308="",I308=""),"",F308+I308)</x:f>
        <x:v>56</x:v>
      </x:c>
      <x:c r="K308" s="122" t="n">
        <x:f>IF(J308="","",ROUND(J308*'00_Eingabe'!$B$16*(1+'00_Eingabe'!$B$14),0))</x:f>
        <x:v>64</x:v>
      </x:c>
      <x:c r="L308" s="122" t="n">
        <x:f>IF(B308="Betriebsferien",0,ROUND(J308*'00_Eingabe'!$B$40,0)+IF(C308="Wochenende",'00_Eingabe'!$B$42,'00_Eingabe'!$B$41))</x:f>
        <x:v>80</x:v>
      </x:c>
      <x:c r="M308" s="123" t="n">
        <x:f>IF(J308="","",ROUND(J308*'00_Eingabe'!$B$17*(1+'00_Eingabe'!$B$15),0))</x:f>
        <x:v>64</x:v>
      </x:c>
      <x:c r="N308" s="106"/>
      <x:c r="O308" s="106"/>
      <x:c r="P308" s="116"/>
      <x:c r="Q308" s="213" t="n">
        <x:f>IF(C308="Wochenende",1,0)</x:f>
        <x:v>1</x:v>
      </x:c>
      <x:c r="R308" s="213" t="n">
        <x:f>IF(AND(B308&lt;&gt;"Betriebsferien",OR(WEEKDAY(A308,2)=2,WEEKDAY(A308,2)=4)),1,0)</x:f>
        <x:v>0</x:v>
      </x:c>
      <x:c r="S308" s="214" t="n">
        <x:f>R308*MIN(1,'00_Eingabe'!$B$62/'00_Eingabe'!$B$61)</x:f>
        <x:v>0</x:v>
      </x:c>
      <x:c r="T308" s="213" t="n">
        <x:f>IF(B308="Betriebsferien",0,IF(B308="Nebensaison",IF(OR(WEEKDAY(A308,2)=1,WEEKDAY(A308,2)=3,WEEKDAY(A308,2)=5),1,0),IF(C308="Unterwoche",1,0)))</x:f>
        <x:v>0</x:v>
      </x:c>
      <x:c r="U308" s="213" t="n">
        <x:f>IF(B308="Betriebsferien",0,'00_Eingabe'!$G$24)</x:f>
        <x:v>8</x:v>
      </x:c>
    </x:row>
    <x:row r="309">
      <x:c r="A309" s="121" t="n">
        <x:f>IF(ROW()-4&lt;DATE('00_Eingabe'!$B$7+1,1,1)-DATE('00_Eingabe'!$B$7,1,1),DATE('00_Eingabe'!$B$7,1,1)+ROW()-4,"")</x:f>
        <x:v>45963</x:v>
      </x:c>
      <x:c r="B309" s="122" t="str">
        <x:f>IF(A309="","",IF(OR(AND(MONTH(A309)=12,DAY(A309)&gt;=20),AND(MONTH(A309)=1,DAY(A309)&lt;=2)),"Weihnachten",IF(OR(AND(MONTH(A309)=11,DAY(A309)&gt;=24),AND(MONTH(A309)=12,DAY(A309)&lt;=7)),"Betriebsferien",IF(OR(AND(MONTH(A309)=1,DAY(A309)&gt;=3),MONTH(A309)=2,MONTH(A309)=3,MONTH(A309)=4,MONTH(A309)=10,MONTH(A309)=11,AND(MONTH(A309)=12,DAY(A309)&lt;=15)),"Nebensaison","Hauptsaison"))))</x:f>
        <x:v>Nebensaison</x:v>
      </x:c>
      <x:c r="C309" s="122" t="str">
        <x:f>IF(A309="","",IF(WEEKDAY(A309,2)&gt;=6,"Wochenende","Unterwoche"))</x:f>
        <x:v>Wochenende</x:v>
      </x:c>
      <x:c r="D309" s="123" t="n">
        <x:f>IF(A309="","",IF(N309&lt;&gt;"",N309,IF(B309="Nebensaison",IF(C309="Wochenende",'00_Eingabe'!$C$24,'00_Eingabe'!$B$24),IF(B309="Hauptsaison",IF(C309="Wochenende",'00_Eingabe'!$C$25,'00_Eingabe'!$B$25),IF(B309="Weihnachten",IF(C309="Wochenende",'00_Eingabe'!$C$26,'00_Eingabe'!$B$26),IF(C309="Wochenende",'00_Eingabe'!$C$27,'00_Eingabe'!$B$27))))))</x:f>
        <x:v>0.75</x:v>
      </x:c>
      <x:c r="E309" s="122" t="n">
        <x:f>IF(OR(A309="",D309=""),"",ROUND('00_Eingabe'!$B$8*D309,0))</x:f>
        <x:v>26</x:v>
      </x:c>
      <x:c r="F309" s="122" t="n">
        <x:f>IF(E309="","",ROUND(E309*'00_Eingabe'!$B$18,0))</x:f>
        <x:v>49</x:v>
      </x:c>
      <x:c r="G309" s="123" t="n">
        <x:f>IF(A309="","",IF(O309&lt;&gt;"",O309,IF(B309="Nebensaison",IF(C309="Wochenende",'00_Eingabe'!$E$24,'00_Eingabe'!$D$24),IF(B309="Hauptsaison",IF(C309="Wochenende",'00_Eingabe'!$E$25,'00_Eingabe'!$D$25),IF(B309="Weihnachten",IF(C309="Wochenende",'00_Eingabe'!$E$26,'00_Eingabe'!$D$26),IF(C309="Wochenende",'00_Eingabe'!$E$27,'00_Eingabe'!$D$27))))))</x:f>
        <x:v>0.75</x:v>
      </x:c>
      <x:c r="H309" s="122" t="n">
        <x:f>IF(OR(A309="",G309=""),"",ROUND('00_Eingabe'!$B$9*G309,0))</x:f>
        <x:v>3</x:v>
      </x:c>
      <x:c r="I309" s="122" t="n">
        <x:f>IF(H309="","",ROUND(H309*'00_Eingabe'!$B$19,0))</x:f>
        <x:v>7</x:v>
      </x:c>
      <x:c r="J309" s="122" t="n">
        <x:f>IF(OR(F309="",I309=""),"",F309+I309)</x:f>
        <x:v>56</x:v>
      </x:c>
      <x:c r="K309" s="122" t="n">
        <x:f>IF(J309="","",ROUND(J309*'00_Eingabe'!$B$16*(1+'00_Eingabe'!$B$14),0))</x:f>
        <x:v>64</x:v>
      </x:c>
      <x:c r="L309" s="122" t="n">
        <x:f>IF(B309="Betriebsferien",0,ROUND(J309*'00_Eingabe'!$B$40,0)+IF(C309="Wochenende",'00_Eingabe'!$B$42,'00_Eingabe'!$B$41))</x:f>
        <x:v>80</x:v>
      </x:c>
      <x:c r="M309" s="123" t="n">
        <x:f>IF(J309="","",ROUND(J309*'00_Eingabe'!$B$17*(1+'00_Eingabe'!$B$15),0))</x:f>
        <x:v>64</x:v>
      </x:c>
      <x:c r="N309" s="106"/>
      <x:c r="O309" s="106"/>
      <x:c r="P309" s="116"/>
      <x:c r="Q309" s="213" t="n">
        <x:f>IF(C309="Wochenende",1,0)</x:f>
        <x:v>1</x:v>
      </x:c>
      <x:c r="R309" s="213" t="n">
        <x:f>IF(AND(B309&lt;&gt;"Betriebsferien",OR(WEEKDAY(A309,2)=2,WEEKDAY(A309,2)=4)),1,0)</x:f>
        <x:v>0</x:v>
      </x:c>
      <x:c r="S309" s="214" t="n">
        <x:f>R309*MIN(1,'00_Eingabe'!$B$62/'00_Eingabe'!$B$61)</x:f>
        <x:v>0</x:v>
      </x:c>
      <x:c r="T309" s="213" t="n">
        <x:f>IF(B309="Betriebsferien",0,IF(B309="Nebensaison",IF(OR(WEEKDAY(A309,2)=1,WEEKDAY(A309,2)=3,WEEKDAY(A309,2)=5),1,0),IF(C309="Unterwoche",1,0)))</x:f>
        <x:v>0</x:v>
      </x:c>
      <x:c r="U309" s="213" t="n">
        <x:f>IF(B309="Betriebsferien",0,'00_Eingabe'!$G$24)</x:f>
        <x:v>8</x:v>
      </x:c>
    </x:row>
    <x:row r="310">
      <x:c r="A310" s="121" t="n">
        <x:f>IF(ROW()-4&lt;DATE('00_Eingabe'!$B$7+1,1,1)-DATE('00_Eingabe'!$B$7,1,1),DATE('00_Eingabe'!$B$7,1,1)+ROW()-4,"")</x:f>
        <x:v>45964</x:v>
      </x:c>
      <x:c r="B310" s="122" t="str">
        <x:f>IF(A310="","",IF(OR(AND(MONTH(A310)=12,DAY(A310)&gt;=20),AND(MONTH(A310)=1,DAY(A310)&lt;=2)),"Weihnachten",IF(OR(AND(MONTH(A310)=11,DAY(A310)&gt;=24),AND(MONTH(A310)=12,DAY(A310)&lt;=7)),"Betriebsferien",IF(OR(AND(MONTH(A310)=1,DAY(A310)&gt;=3),MONTH(A310)=2,MONTH(A310)=3,MONTH(A310)=4,MONTH(A310)=10,MONTH(A310)=11,AND(MONTH(A310)=12,DAY(A310)&lt;=15)),"Nebensaison","Hauptsaison"))))</x:f>
        <x:v>Nebensaison</x:v>
      </x:c>
      <x:c r="C310" s="122" t="str">
        <x:f>IF(A310="","",IF(WEEKDAY(A310,2)&gt;=6,"Wochenende","Unterwoche"))</x:f>
        <x:v>Unterwoche</x:v>
      </x:c>
      <x:c r="D310" s="123" t="n">
        <x:f>IF(A310="","",IF(N310&lt;&gt;"",N310,IF(B310="Nebensaison",IF(C310="Wochenende",'00_Eingabe'!$C$24,'00_Eingabe'!$B$24),IF(B310="Hauptsaison",IF(C310="Wochenende",'00_Eingabe'!$C$25,'00_Eingabe'!$B$25),IF(B310="Weihnachten",IF(C310="Wochenende",'00_Eingabe'!$C$26,'00_Eingabe'!$B$26),IF(C310="Wochenende",'00_Eingabe'!$C$27,'00_Eingabe'!$B$27))))))</x:f>
        <x:v>0.7</x:v>
      </x:c>
      <x:c r="E310" s="122" t="n">
        <x:f>IF(OR(A310="",D310=""),"",ROUND('00_Eingabe'!$B$8*D310,0))</x:f>
        <x:v>25</x:v>
      </x:c>
      <x:c r="F310" s="122" t="n">
        <x:f>IF(E310="","",ROUND(E310*'00_Eingabe'!$B$18,0))</x:f>
        <x:v>48</x:v>
      </x:c>
      <x:c r="G310" s="123" t="n">
        <x:f>IF(A310="","",IF(O310&lt;&gt;"",O310,IF(B310="Nebensaison",IF(C310="Wochenende",'00_Eingabe'!$E$24,'00_Eingabe'!$D$24),IF(B310="Hauptsaison",IF(C310="Wochenende",'00_Eingabe'!$E$25,'00_Eingabe'!$D$25),IF(B310="Weihnachten",IF(C310="Wochenende",'00_Eingabe'!$E$26,'00_Eingabe'!$D$26),IF(C310="Wochenende",'00_Eingabe'!$E$27,'00_Eingabe'!$D$27))))))</x:f>
        <x:v>0.7</x:v>
      </x:c>
      <x:c r="H310" s="122" t="n">
        <x:f>IF(OR(A310="",G310=""),"",ROUND('00_Eingabe'!$B$9*G310,0))</x:f>
        <x:v>3</x:v>
      </x:c>
      <x:c r="I310" s="122" t="n">
        <x:f>IF(H310="","",ROUND(H310*'00_Eingabe'!$B$19,0))</x:f>
        <x:v>7</x:v>
      </x:c>
      <x:c r="J310" s="122" t="n">
        <x:f>IF(OR(F310="",I310=""),"",F310+I310)</x:f>
        <x:v>55</x:v>
      </x:c>
      <x:c r="K310" s="122" t="n">
        <x:f>IF(J310="","",ROUND(J310*'00_Eingabe'!$B$16*(1+'00_Eingabe'!$B$14),0))</x:f>
        <x:v>63</x:v>
      </x:c>
      <x:c r="L310" s="122" t="n">
        <x:f>IF(B310="Betriebsferien",0,ROUND(J310*'00_Eingabe'!$B$40,0)+IF(C310="Wochenende",'00_Eingabe'!$B$42,'00_Eingabe'!$B$41))</x:f>
        <x:v>55</x:v>
      </x:c>
      <x:c r="M310" s="123" t="n">
        <x:f>IF(J310="","",ROUND(J310*'00_Eingabe'!$B$17*(1+'00_Eingabe'!$B$15),0))</x:f>
        <x:v>63</x:v>
      </x:c>
      <x:c r="N310" s="106"/>
      <x:c r="O310" s="106"/>
      <x:c r="P310" s="116"/>
      <x:c r="Q310" s="213" t="n">
        <x:f>IF(C310="Wochenende",1,0)</x:f>
        <x:v>0</x:v>
      </x:c>
      <x:c r="R310" s="213" t="n">
        <x:f>IF(AND(B310&lt;&gt;"Betriebsferien",OR(WEEKDAY(A310,2)=2,WEEKDAY(A310,2)=4)),1,0)</x:f>
        <x:v>0</x:v>
      </x:c>
      <x:c r="S310" s="214" t="n">
        <x:f>R310*MIN(1,'00_Eingabe'!$B$62/'00_Eingabe'!$B$61)</x:f>
        <x:v>0</x:v>
      </x:c>
      <x:c r="T310" s="213" t="n">
        <x:f>IF(B310="Betriebsferien",0,IF(B310="Nebensaison",IF(OR(WEEKDAY(A310,2)=1,WEEKDAY(A310,2)=3,WEEKDAY(A310,2)=5),1,0),IF(C310="Unterwoche",1,0)))</x:f>
        <x:v>1</x:v>
      </x:c>
      <x:c r="U310" s="213" t="n">
        <x:f>IF(B310="Betriebsferien",0,'00_Eingabe'!$G$24)</x:f>
        <x:v>8</x:v>
      </x:c>
    </x:row>
    <x:row r="311">
      <x:c r="A311" s="121" t="n">
        <x:f>IF(ROW()-4&lt;DATE('00_Eingabe'!$B$7+1,1,1)-DATE('00_Eingabe'!$B$7,1,1),DATE('00_Eingabe'!$B$7,1,1)+ROW()-4,"")</x:f>
        <x:v>45965</x:v>
      </x:c>
      <x:c r="B311" s="122" t="str">
        <x:f>IF(A311="","",IF(OR(AND(MONTH(A311)=12,DAY(A311)&gt;=20),AND(MONTH(A311)=1,DAY(A311)&lt;=2)),"Weihnachten",IF(OR(AND(MONTH(A311)=11,DAY(A311)&gt;=24),AND(MONTH(A311)=12,DAY(A311)&lt;=7)),"Betriebsferien",IF(OR(AND(MONTH(A311)=1,DAY(A311)&gt;=3),MONTH(A311)=2,MONTH(A311)=3,MONTH(A311)=4,MONTH(A311)=10,MONTH(A311)=11,AND(MONTH(A311)=12,DAY(A311)&lt;=15)),"Nebensaison","Hauptsaison"))))</x:f>
        <x:v>Nebensaison</x:v>
      </x:c>
      <x:c r="C311" s="122" t="str">
        <x:f>IF(A311="","",IF(WEEKDAY(A311,2)&gt;=6,"Wochenende","Unterwoche"))</x:f>
        <x:v>Unterwoche</x:v>
      </x:c>
      <x:c r="D311" s="123" t="n">
        <x:f>IF(A311="","",IF(N311&lt;&gt;"",N311,IF(B311="Nebensaison",IF(C311="Wochenende",'00_Eingabe'!$C$24,'00_Eingabe'!$B$24),IF(B311="Hauptsaison",IF(C311="Wochenende",'00_Eingabe'!$C$25,'00_Eingabe'!$B$25),IF(B311="Weihnachten",IF(C311="Wochenende",'00_Eingabe'!$C$26,'00_Eingabe'!$B$26),IF(C311="Wochenende",'00_Eingabe'!$C$27,'00_Eingabe'!$B$27))))))</x:f>
        <x:v>0.7</x:v>
      </x:c>
      <x:c r="E311" s="122" t="n">
        <x:f>IF(OR(A311="",D311=""),"",ROUND('00_Eingabe'!$B$8*D311,0))</x:f>
        <x:v>25</x:v>
      </x:c>
      <x:c r="F311" s="122" t="n">
        <x:f>IF(E311="","",ROUND(E311*'00_Eingabe'!$B$18,0))</x:f>
        <x:v>48</x:v>
      </x:c>
      <x:c r="G311" s="123" t="n">
        <x:f>IF(A311="","",IF(O311&lt;&gt;"",O311,IF(B311="Nebensaison",IF(C311="Wochenende",'00_Eingabe'!$E$24,'00_Eingabe'!$D$24),IF(B311="Hauptsaison",IF(C311="Wochenende",'00_Eingabe'!$E$25,'00_Eingabe'!$D$25),IF(B311="Weihnachten",IF(C311="Wochenende",'00_Eingabe'!$E$26,'00_Eingabe'!$D$26),IF(C311="Wochenende",'00_Eingabe'!$E$27,'00_Eingabe'!$D$27))))))</x:f>
        <x:v>0.7</x:v>
      </x:c>
      <x:c r="H311" s="122" t="n">
        <x:f>IF(OR(A311="",G311=""),"",ROUND('00_Eingabe'!$B$9*G311,0))</x:f>
        <x:v>3</x:v>
      </x:c>
      <x:c r="I311" s="122" t="n">
        <x:f>IF(H311="","",ROUND(H311*'00_Eingabe'!$B$19,0))</x:f>
        <x:v>7</x:v>
      </x:c>
      <x:c r="J311" s="122" t="n">
        <x:f>IF(OR(F311="",I311=""),"",F311+I311)</x:f>
        <x:v>55</x:v>
      </x:c>
      <x:c r="K311" s="122" t="n">
        <x:f>IF(J311="","",ROUND(J311*'00_Eingabe'!$B$16*(1+'00_Eingabe'!$B$14),0))</x:f>
        <x:v>63</x:v>
      </x:c>
      <x:c r="L311" s="122" t="n">
        <x:f>IF(B311="Betriebsferien",0,ROUND(J311*'00_Eingabe'!$B$40,0)+IF(C311="Wochenende",'00_Eingabe'!$B$42,'00_Eingabe'!$B$41))</x:f>
        <x:v>55</x:v>
      </x:c>
      <x:c r="M311" s="123" t="n">
        <x:f>IF(J311="","",ROUND(J311*'00_Eingabe'!$B$17*(1+'00_Eingabe'!$B$15),0))</x:f>
        <x:v>63</x:v>
      </x:c>
      <x:c r="N311" s="106"/>
      <x:c r="O311" s="106"/>
      <x:c r="P311" s="116"/>
      <x:c r="Q311" s="213" t="n">
        <x:f>IF(C311="Wochenende",1,0)</x:f>
        <x:v>0</x:v>
      </x:c>
      <x:c r="R311" s="213" t="n">
        <x:f>IF(AND(B311&lt;&gt;"Betriebsferien",OR(WEEKDAY(A311,2)=2,WEEKDAY(A311,2)=4)),1,0)</x:f>
        <x:v>1</x:v>
      </x:c>
      <x:c r="S311" s="214" t="n">
        <x:f>R311*MIN(1,'00_Eingabe'!$B$62/'00_Eingabe'!$B$61)</x:f>
        <x:v>0.5</x:v>
      </x:c>
      <x:c r="T311" s="213" t="n">
        <x:f>IF(B311="Betriebsferien",0,IF(B311="Nebensaison",IF(OR(WEEKDAY(A311,2)=1,WEEKDAY(A311,2)=3,WEEKDAY(A311,2)=5),1,0),IF(C311="Unterwoche",1,0)))</x:f>
        <x:v>0</x:v>
      </x:c>
      <x:c r="U311" s="213" t="n">
        <x:f>IF(B311="Betriebsferien",0,'00_Eingabe'!$G$24)</x:f>
        <x:v>8</x:v>
      </x:c>
    </x:row>
    <x:row r="312">
      <x:c r="A312" s="121" t="n">
        <x:f>IF(ROW()-4&lt;DATE('00_Eingabe'!$B$7+1,1,1)-DATE('00_Eingabe'!$B$7,1,1),DATE('00_Eingabe'!$B$7,1,1)+ROW()-4,"")</x:f>
        <x:v>45966</x:v>
      </x:c>
      <x:c r="B312" s="122" t="str">
        <x:f>IF(A312="","",IF(OR(AND(MONTH(A312)=12,DAY(A312)&gt;=20),AND(MONTH(A312)=1,DAY(A312)&lt;=2)),"Weihnachten",IF(OR(AND(MONTH(A312)=11,DAY(A312)&gt;=24),AND(MONTH(A312)=12,DAY(A312)&lt;=7)),"Betriebsferien",IF(OR(AND(MONTH(A312)=1,DAY(A312)&gt;=3),MONTH(A312)=2,MONTH(A312)=3,MONTH(A312)=4,MONTH(A312)=10,MONTH(A312)=11,AND(MONTH(A312)=12,DAY(A312)&lt;=15)),"Nebensaison","Hauptsaison"))))</x:f>
        <x:v>Nebensaison</x:v>
      </x:c>
      <x:c r="C312" s="122" t="str">
        <x:f>IF(A312="","",IF(WEEKDAY(A312,2)&gt;=6,"Wochenende","Unterwoche"))</x:f>
        <x:v>Unterwoche</x:v>
      </x:c>
      <x:c r="D312" s="123" t="n">
        <x:f>IF(A312="","",IF(N312&lt;&gt;"",N312,IF(B312="Nebensaison",IF(C312="Wochenende",'00_Eingabe'!$C$24,'00_Eingabe'!$B$24),IF(B312="Hauptsaison",IF(C312="Wochenende",'00_Eingabe'!$C$25,'00_Eingabe'!$B$25),IF(B312="Weihnachten",IF(C312="Wochenende",'00_Eingabe'!$C$26,'00_Eingabe'!$B$26),IF(C312="Wochenende",'00_Eingabe'!$C$27,'00_Eingabe'!$B$27))))))</x:f>
        <x:v>0.7</x:v>
      </x:c>
      <x:c r="E312" s="122" t="n">
        <x:f>IF(OR(A312="",D312=""),"",ROUND('00_Eingabe'!$B$8*D312,0))</x:f>
        <x:v>25</x:v>
      </x:c>
      <x:c r="F312" s="122" t="n">
        <x:f>IF(E312="","",ROUND(E312*'00_Eingabe'!$B$18,0))</x:f>
        <x:v>48</x:v>
      </x:c>
      <x:c r="G312" s="123" t="n">
        <x:f>IF(A312="","",IF(O312&lt;&gt;"",O312,IF(B312="Nebensaison",IF(C312="Wochenende",'00_Eingabe'!$E$24,'00_Eingabe'!$D$24),IF(B312="Hauptsaison",IF(C312="Wochenende",'00_Eingabe'!$E$25,'00_Eingabe'!$D$25),IF(B312="Weihnachten",IF(C312="Wochenende",'00_Eingabe'!$E$26,'00_Eingabe'!$D$26),IF(C312="Wochenende",'00_Eingabe'!$E$27,'00_Eingabe'!$D$27))))))</x:f>
        <x:v>0.7</x:v>
      </x:c>
      <x:c r="H312" s="122" t="n">
        <x:f>IF(OR(A312="",G312=""),"",ROUND('00_Eingabe'!$B$9*G312,0))</x:f>
        <x:v>3</x:v>
      </x:c>
      <x:c r="I312" s="122" t="n">
        <x:f>IF(H312="","",ROUND(H312*'00_Eingabe'!$B$19,0))</x:f>
        <x:v>7</x:v>
      </x:c>
      <x:c r="J312" s="122" t="n">
        <x:f>IF(OR(F312="",I312=""),"",F312+I312)</x:f>
        <x:v>55</x:v>
      </x:c>
      <x:c r="K312" s="122" t="n">
        <x:f>IF(J312="","",ROUND(J312*'00_Eingabe'!$B$16*(1+'00_Eingabe'!$B$14),0))</x:f>
        <x:v>63</x:v>
      </x:c>
      <x:c r="L312" s="122" t="n">
        <x:f>IF(B312="Betriebsferien",0,ROUND(J312*'00_Eingabe'!$B$40,0)+IF(C312="Wochenende",'00_Eingabe'!$B$42,'00_Eingabe'!$B$41))</x:f>
        <x:v>55</x:v>
      </x:c>
      <x:c r="M312" s="123" t="n">
        <x:f>IF(J312="","",ROUND(J312*'00_Eingabe'!$B$17*(1+'00_Eingabe'!$B$15),0))</x:f>
        <x:v>63</x:v>
      </x:c>
      <x:c r="N312" s="106"/>
      <x:c r="O312" s="106"/>
      <x:c r="P312" s="116"/>
      <x:c r="Q312" s="213" t="n">
        <x:f>IF(C312="Wochenende",1,0)</x:f>
        <x:v>0</x:v>
      </x:c>
      <x:c r="R312" s="213" t="n">
        <x:f>IF(AND(B312&lt;&gt;"Betriebsferien",OR(WEEKDAY(A312,2)=2,WEEKDAY(A312,2)=4)),1,0)</x:f>
        <x:v>0</x:v>
      </x:c>
      <x:c r="S312" s="214" t="n">
        <x:f>R312*MIN(1,'00_Eingabe'!$B$62/'00_Eingabe'!$B$61)</x:f>
        <x:v>0</x:v>
      </x:c>
      <x:c r="T312" s="213" t="n">
        <x:f>IF(B312="Betriebsferien",0,IF(B312="Nebensaison",IF(OR(WEEKDAY(A312,2)=1,WEEKDAY(A312,2)=3,WEEKDAY(A312,2)=5),1,0),IF(C312="Unterwoche",1,0)))</x:f>
        <x:v>1</x:v>
      </x:c>
      <x:c r="U312" s="213" t="n">
        <x:f>IF(B312="Betriebsferien",0,'00_Eingabe'!$G$24)</x:f>
        <x:v>8</x:v>
      </x:c>
    </x:row>
    <x:row r="313">
      <x:c r="A313" s="121" t="n">
        <x:f>IF(ROW()-4&lt;DATE('00_Eingabe'!$B$7+1,1,1)-DATE('00_Eingabe'!$B$7,1,1),DATE('00_Eingabe'!$B$7,1,1)+ROW()-4,"")</x:f>
        <x:v>45967</x:v>
      </x:c>
      <x:c r="B313" s="122" t="str">
        <x:f>IF(A313="","",IF(OR(AND(MONTH(A313)=12,DAY(A313)&gt;=20),AND(MONTH(A313)=1,DAY(A313)&lt;=2)),"Weihnachten",IF(OR(AND(MONTH(A313)=11,DAY(A313)&gt;=24),AND(MONTH(A313)=12,DAY(A313)&lt;=7)),"Betriebsferien",IF(OR(AND(MONTH(A313)=1,DAY(A313)&gt;=3),MONTH(A313)=2,MONTH(A313)=3,MONTH(A313)=4,MONTH(A313)=10,MONTH(A313)=11,AND(MONTH(A313)=12,DAY(A313)&lt;=15)),"Nebensaison","Hauptsaison"))))</x:f>
        <x:v>Nebensaison</x:v>
      </x:c>
      <x:c r="C313" s="122" t="str">
        <x:f>IF(A313="","",IF(WEEKDAY(A313,2)&gt;=6,"Wochenende","Unterwoche"))</x:f>
        <x:v>Unterwoche</x:v>
      </x:c>
      <x:c r="D313" s="123" t="n">
        <x:f>IF(A313="","",IF(N313&lt;&gt;"",N313,IF(B313="Nebensaison",IF(C313="Wochenende",'00_Eingabe'!$C$24,'00_Eingabe'!$B$24),IF(B313="Hauptsaison",IF(C313="Wochenende",'00_Eingabe'!$C$25,'00_Eingabe'!$B$25),IF(B313="Weihnachten",IF(C313="Wochenende",'00_Eingabe'!$C$26,'00_Eingabe'!$B$26),IF(C313="Wochenende",'00_Eingabe'!$C$27,'00_Eingabe'!$B$27))))))</x:f>
        <x:v>0.7</x:v>
      </x:c>
      <x:c r="E313" s="122" t="n">
        <x:f>IF(OR(A313="",D313=""),"",ROUND('00_Eingabe'!$B$8*D313,0))</x:f>
        <x:v>25</x:v>
      </x:c>
      <x:c r="F313" s="122" t="n">
        <x:f>IF(E313="","",ROUND(E313*'00_Eingabe'!$B$18,0))</x:f>
        <x:v>48</x:v>
      </x:c>
      <x:c r="G313" s="123" t="n">
        <x:f>IF(A313="","",IF(O313&lt;&gt;"",O313,IF(B313="Nebensaison",IF(C313="Wochenende",'00_Eingabe'!$E$24,'00_Eingabe'!$D$24),IF(B313="Hauptsaison",IF(C313="Wochenende",'00_Eingabe'!$E$25,'00_Eingabe'!$D$25),IF(B313="Weihnachten",IF(C313="Wochenende",'00_Eingabe'!$E$26,'00_Eingabe'!$D$26),IF(C313="Wochenende",'00_Eingabe'!$E$27,'00_Eingabe'!$D$27))))))</x:f>
        <x:v>0.7</x:v>
      </x:c>
      <x:c r="H313" s="122" t="n">
        <x:f>IF(OR(A313="",G313=""),"",ROUND('00_Eingabe'!$B$9*G313,0))</x:f>
        <x:v>3</x:v>
      </x:c>
      <x:c r="I313" s="122" t="n">
        <x:f>IF(H313="","",ROUND(H313*'00_Eingabe'!$B$19,0))</x:f>
        <x:v>7</x:v>
      </x:c>
      <x:c r="J313" s="122" t="n">
        <x:f>IF(OR(F313="",I313=""),"",F313+I313)</x:f>
        <x:v>55</x:v>
      </x:c>
      <x:c r="K313" s="122" t="n">
        <x:f>IF(J313="","",ROUND(J313*'00_Eingabe'!$B$16*(1+'00_Eingabe'!$B$14),0))</x:f>
        <x:v>63</x:v>
      </x:c>
      <x:c r="L313" s="122" t="n">
        <x:f>IF(B313="Betriebsferien",0,ROUND(J313*'00_Eingabe'!$B$40,0)+IF(C313="Wochenende",'00_Eingabe'!$B$42,'00_Eingabe'!$B$41))</x:f>
        <x:v>55</x:v>
      </x:c>
      <x:c r="M313" s="123" t="n">
        <x:f>IF(J313="","",ROUND(J313*'00_Eingabe'!$B$17*(1+'00_Eingabe'!$B$15),0))</x:f>
        <x:v>63</x:v>
      </x:c>
      <x:c r="N313" s="106"/>
      <x:c r="O313" s="106"/>
      <x:c r="P313" s="116"/>
      <x:c r="Q313" s="213" t="n">
        <x:f>IF(C313="Wochenende",1,0)</x:f>
        <x:v>0</x:v>
      </x:c>
      <x:c r="R313" s="213" t="n">
        <x:f>IF(AND(B313&lt;&gt;"Betriebsferien",OR(WEEKDAY(A313,2)=2,WEEKDAY(A313,2)=4)),1,0)</x:f>
        <x:v>1</x:v>
      </x:c>
      <x:c r="S313" s="214" t="n">
        <x:f>R313*MIN(1,'00_Eingabe'!$B$62/'00_Eingabe'!$B$61)</x:f>
        <x:v>0.5</x:v>
      </x:c>
      <x:c r="T313" s="213" t="n">
        <x:f>IF(B313="Betriebsferien",0,IF(B313="Nebensaison",IF(OR(WEEKDAY(A313,2)=1,WEEKDAY(A313,2)=3,WEEKDAY(A313,2)=5),1,0),IF(C313="Unterwoche",1,0)))</x:f>
        <x:v>0</x:v>
      </x:c>
      <x:c r="U313" s="213" t="n">
        <x:f>IF(B313="Betriebsferien",0,'00_Eingabe'!$G$24)</x:f>
        <x:v>8</x:v>
      </x:c>
    </x:row>
    <x:row r="314">
      <x:c r="A314" s="121" t="n">
        <x:f>IF(ROW()-4&lt;DATE('00_Eingabe'!$B$7+1,1,1)-DATE('00_Eingabe'!$B$7,1,1),DATE('00_Eingabe'!$B$7,1,1)+ROW()-4,"")</x:f>
        <x:v>45968</x:v>
      </x:c>
      <x:c r="B314" s="122" t="str">
        <x:f>IF(A314="","",IF(OR(AND(MONTH(A314)=12,DAY(A314)&gt;=20),AND(MONTH(A314)=1,DAY(A314)&lt;=2)),"Weihnachten",IF(OR(AND(MONTH(A314)=11,DAY(A314)&gt;=24),AND(MONTH(A314)=12,DAY(A314)&lt;=7)),"Betriebsferien",IF(OR(AND(MONTH(A314)=1,DAY(A314)&gt;=3),MONTH(A314)=2,MONTH(A314)=3,MONTH(A314)=4,MONTH(A314)=10,MONTH(A314)=11,AND(MONTH(A314)=12,DAY(A314)&lt;=15)),"Nebensaison","Hauptsaison"))))</x:f>
        <x:v>Nebensaison</x:v>
      </x:c>
      <x:c r="C314" s="122" t="str">
        <x:f>IF(A314="","",IF(WEEKDAY(A314,2)&gt;=6,"Wochenende","Unterwoche"))</x:f>
        <x:v>Unterwoche</x:v>
      </x:c>
      <x:c r="D314" s="123" t="n">
        <x:f>IF(A314="","",IF(N314&lt;&gt;"",N314,IF(B314="Nebensaison",IF(C314="Wochenende",'00_Eingabe'!$C$24,'00_Eingabe'!$B$24),IF(B314="Hauptsaison",IF(C314="Wochenende",'00_Eingabe'!$C$25,'00_Eingabe'!$B$25),IF(B314="Weihnachten",IF(C314="Wochenende",'00_Eingabe'!$C$26,'00_Eingabe'!$B$26),IF(C314="Wochenende",'00_Eingabe'!$C$27,'00_Eingabe'!$B$27))))))</x:f>
        <x:v>0.7</x:v>
      </x:c>
      <x:c r="E314" s="122" t="n">
        <x:f>IF(OR(A314="",D314=""),"",ROUND('00_Eingabe'!$B$8*D314,0))</x:f>
        <x:v>25</x:v>
      </x:c>
      <x:c r="F314" s="122" t="n">
        <x:f>IF(E314="","",ROUND(E314*'00_Eingabe'!$B$18,0))</x:f>
        <x:v>48</x:v>
      </x:c>
      <x:c r="G314" s="123" t="n">
        <x:f>IF(A314="","",IF(O314&lt;&gt;"",O314,IF(B314="Nebensaison",IF(C314="Wochenende",'00_Eingabe'!$E$24,'00_Eingabe'!$D$24),IF(B314="Hauptsaison",IF(C314="Wochenende",'00_Eingabe'!$E$25,'00_Eingabe'!$D$25),IF(B314="Weihnachten",IF(C314="Wochenende",'00_Eingabe'!$E$26,'00_Eingabe'!$D$26),IF(C314="Wochenende",'00_Eingabe'!$E$27,'00_Eingabe'!$D$27))))))</x:f>
        <x:v>0.7</x:v>
      </x:c>
      <x:c r="H314" s="122" t="n">
        <x:f>IF(OR(A314="",G314=""),"",ROUND('00_Eingabe'!$B$9*G314,0))</x:f>
        <x:v>3</x:v>
      </x:c>
      <x:c r="I314" s="122" t="n">
        <x:f>IF(H314="","",ROUND(H314*'00_Eingabe'!$B$19,0))</x:f>
        <x:v>7</x:v>
      </x:c>
      <x:c r="J314" s="122" t="n">
        <x:f>IF(OR(F314="",I314=""),"",F314+I314)</x:f>
        <x:v>55</x:v>
      </x:c>
      <x:c r="K314" s="122" t="n">
        <x:f>IF(J314="","",ROUND(J314*'00_Eingabe'!$B$16*(1+'00_Eingabe'!$B$14),0))</x:f>
        <x:v>63</x:v>
      </x:c>
      <x:c r="L314" s="122" t="n">
        <x:f>IF(B314="Betriebsferien",0,ROUND(J314*'00_Eingabe'!$B$40,0)+IF(C314="Wochenende",'00_Eingabe'!$B$42,'00_Eingabe'!$B$41))</x:f>
        <x:v>55</x:v>
      </x:c>
      <x:c r="M314" s="123" t="n">
        <x:f>IF(J314="","",ROUND(J314*'00_Eingabe'!$B$17*(1+'00_Eingabe'!$B$15),0))</x:f>
        <x:v>63</x:v>
      </x:c>
      <x:c r="N314" s="106"/>
      <x:c r="O314" s="106"/>
      <x:c r="P314" s="116"/>
      <x:c r="Q314" s="213" t="n">
        <x:f>IF(C314="Wochenende",1,0)</x:f>
        <x:v>0</x:v>
      </x:c>
      <x:c r="R314" s="213" t="n">
        <x:f>IF(AND(B314&lt;&gt;"Betriebsferien",OR(WEEKDAY(A314,2)=2,WEEKDAY(A314,2)=4)),1,0)</x:f>
        <x:v>0</x:v>
      </x:c>
      <x:c r="S314" s="214" t="n">
        <x:f>R314*MIN(1,'00_Eingabe'!$B$62/'00_Eingabe'!$B$61)</x:f>
        <x:v>0</x:v>
      </x:c>
      <x:c r="T314" s="213" t="n">
        <x:f>IF(B314="Betriebsferien",0,IF(B314="Nebensaison",IF(OR(WEEKDAY(A314,2)=1,WEEKDAY(A314,2)=3,WEEKDAY(A314,2)=5),1,0),IF(C314="Unterwoche",1,0)))</x:f>
        <x:v>1</x:v>
      </x:c>
      <x:c r="U314" s="213" t="n">
        <x:f>IF(B314="Betriebsferien",0,'00_Eingabe'!$G$24)</x:f>
        <x:v>8</x:v>
      </x:c>
    </x:row>
    <x:row r="315">
      <x:c r="A315" s="121" t="n">
        <x:f>IF(ROW()-4&lt;DATE('00_Eingabe'!$B$7+1,1,1)-DATE('00_Eingabe'!$B$7,1,1),DATE('00_Eingabe'!$B$7,1,1)+ROW()-4,"")</x:f>
        <x:v>45969</x:v>
      </x:c>
      <x:c r="B315" s="122" t="str">
        <x:f>IF(A315="","",IF(OR(AND(MONTH(A315)=12,DAY(A315)&gt;=20),AND(MONTH(A315)=1,DAY(A315)&lt;=2)),"Weihnachten",IF(OR(AND(MONTH(A315)=11,DAY(A315)&gt;=24),AND(MONTH(A315)=12,DAY(A315)&lt;=7)),"Betriebsferien",IF(OR(AND(MONTH(A315)=1,DAY(A315)&gt;=3),MONTH(A315)=2,MONTH(A315)=3,MONTH(A315)=4,MONTH(A315)=10,MONTH(A315)=11,AND(MONTH(A315)=12,DAY(A315)&lt;=15)),"Nebensaison","Hauptsaison"))))</x:f>
        <x:v>Nebensaison</x:v>
      </x:c>
      <x:c r="C315" s="122" t="str">
        <x:f>IF(A315="","",IF(WEEKDAY(A315,2)&gt;=6,"Wochenende","Unterwoche"))</x:f>
        <x:v>Wochenende</x:v>
      </x:c>
      <x:c r="D315" s="123" t="n">
        <x:f>IF(A315="","",IF(N315&lt;&gt;"",N315,IF(B315="Nebensaison",IF(C315="Wochenende",'00_Eingabe'!$C$24,'00_Eingabe'!$B$24),IF(B315="Hauptsaison",IF(C315="Wochenende",'00_Eingabe'!$C$25,'00_Eingabe'!$B$25),IF(B315="Weihnachten",IF(C315="Wochenende",'00_Eingabe'!$C$26,'00_Eingabe'!$B$26),IF(C315="Wochenende",'00_Eingabe'!$C$27,'00_Eingabe'!$B$27))))))</x:f>
        <x:v>0.75</x:v>
      </x:c>
      <x:c r="E315" s="122" t="n">
        <x:f>IF(OR(A315="",D315=""),"",ROUND('00_Eingabe'!$B$8*D315,0))</x:f>
        <x:v>26</x:v>
      </x:c>
      <x:c r="F315" s="122" t="n">
        <x:f>IF(E315="","",ROUND(E315*'00_Eingabe'!$B$18,0))</x:f>
        <x:v>49</x:v>
      </x:c>
      <x:c r="G315" s="123" t="n">
        <x:f>IF(A315="","",IF(O315&lt;&gt;"",O315,IF(B315="Nebensaison",IF(C315="Wochenende",'00_Eingabe'!$E$24,'00_Eingabe'!$D$24),IF(B315="Hauptsaison",IF(C315="Wochenende",'00_Eingabe'!$E$25,'00_Eingabe'!$D$25),IF(B315="Weihnachten",IF(C315="Wochenende",'00_Eingabe'!$E$26,'00_Eingabe'!$D$26),IF(C315="Wochenende",'00_Eingabe'!$E$27,'00_Eingabe'!$D$27))))))</x:f>
        <x:v>0.75</x:v>
      </x:c>
      <x:c r="H315" s="122" t="n">
        <x:f>IF(OR(A315="",G315=""),"",ROUND('00_Eingabe'!$B$9*G315,0))</x:f>
        <x:v>3</x:v>
      </x:c>
      <x:c r="I315" s="122" t="n">
        <x:f>IF(H315="","",ROUND(H315*'00_Eingabe'!$B$19,0))</x:f>
        <x:v>7</x:v>
      </x:c>
      <x:c r="J315" s="122" t="n">
        <x:f>IF(OR(F315="",I315=""),"",F315+I315)</x:f>
        <x:v>56</x:v>
      </x:c>
      <x:c r="K315" s="122" t="n">
        <x:f>IF(J315="","",ROUND(J315*'00_Eingabe'!$B$16*(1+'00_Eingabe'!$B$14),0))</x:f>
        <x:v>64</x:v>
      </x:c>
      <x:c r="L315" s="122" t="n">
        <x:f>IF(B315="Betriebsferien",0,ROUND(J315*'00_Eingabe'!$B$40,0)+IF(C315="Wochenende",'00_Eingabe'!$B$42,'00_Eingabe'!$B$41))</x:f>
        <x:v>80</x:v>
      </x:c>
      <x:c r="M315" s="123" t="n">
        <x:f>IF(J315="","",ROUND(J315*'00_Eingabe'!$B$17*(1+'00_Eingabe'!$B$15),0))</x:f>
        <x:v>64</x:v>
      </x:c>
      <x:c r="N315" s="106"/>
      <x:c r="O315" s="106"/>
      <x:c r="P315" s="116"/>
      <x:c r="Q315" s="213" t="n">
        <x:f>IF(C315="Wochenende",1,0)</x:f>
        <x:v>1</x:v>
      </x:c>
      <x:c r="R315" s="213" t="n">
        <x:f>IF(AND(B315&lt;&gt;"Betriebsferien",OR(WEEKDAY(A315,2)=2,WEEKDAY(A315,2)=4)),1,0)</x:f>
        <x:v>0</x:v>
      </x:c>
      <x:c r="S315" s="214" t="n">
        <x:f>R315*MIN(1,'00_Eingabe'!$B$62/'00_Eingabe'!$B$61)</x:f>
        <x:v>0</x:v>
      </x:c>
      <x:c r="T315" s="213" t="n">
        <x:f>IF(B315="Betriebsferien",0,IF(B315="Nebensaison",IF(OR(WEEKDAY(A315,2)=1,WEEKDAY(A315,2)=3,WEEKDAY(A315,2)=5),1,0),IF(C315="Unterwoche",1,0)))</x:f>
        <x:v>0</x:v>
      </x:c>
      <x:c r="U315" s="213" t="n">
        <x:f>IF(B315="Betriebsferien",0,'00_Eingabe'!$G$24)</x:f>
        <x:v>8</x:v>
      </x:c>
    </x:row>
    <x:row r="316">
      <x:c r="A316" s="121" t="n">
        <x:f>IF(ROW()-4&lt;DATE('00_Eingabe'!$B$7+1,1,1)-DATE('00_Eingabe'!$B$7,1,1),DATE('00_Eingabe'!$B$7,1,1)+ROW()-4,"")</x:f>
        <x:v>45970</x:v>
      </x:c>
      <x:c r="B316" s="122" t="str">
        <x:f>IF(A316="","",IF(OR(AND(MONTH(A316)=12,DAY(A316)&gt;=20),AND(MONTH(A316)=1,DAY(A316)&lt;=2)),"Weihnachten",IF(OR(AND(MONTH(A316)=11,DAY(A316)&gt;=24),AND(MONTH(A316)=12,DAY(A316)&lt;=7)),"Betriebsferien",IF(OR(AND(MONTH(A316)=1,DAY(A316)&gt;=3),MONTH(A316)=2,MONTH(A316)=3,MONTH(A316)=4,MONTH(A316)=10,MONTH(A316)=11,AND(MONTH(A316)=12,DAY(A316)&lt;=15)),"Nebensaison","Hauptsaison"))))</x:f>
        <x:v>Nebensaison</x:v>
      </x:c>
      <x:c r="C316" s="122" t="str">
        <x:f>IF(A316="","",IF(WEEKDAY(A316,2)&gt;=6,"Wochenende","Unterwoche"))</x:f>
        <x:v>Wochenende</x:v>
      </x:c>
      <x:c r="D316" s="123" t="n">
        <x:f>IF(A316="","",IF(N316&lt;&gt;"",N316,IF(B316="Nebensaison",IF(C316="Wochenende",'00_Eingabe'!$C$24,'00_Eingabe'!$B$24),IF(B316="Hauptsaison",IF(C316="Wochenende",'00_Eingabe'!$C$25,'00_Eingabe'!$B$25),IF(B316="Weihnachten",IF(C316="Wochenende",'00_Eingabe'!$C$26,'00_Eingabe'!$B$26),IF(C316="Wochenende",'00_Eingabe'!$C$27,'00_Eingabe'!$B$27))))))</x:f>
        <x:v>0.75</x:v>
      </x:c>
      <x:c r="E316" s="122" t="n">
        <x:f>IF(OR(A316="",D316=""),"",ROUND('00_Eingabe'!$B$8*D316,0))</x:f>
        <x:v>26</x:v>
      </x:c>
      <x:c r="F316" s="122" t="n">
        <x:f>IF(E316="","",ROUND(E316*'00_Eingabe'!$B$18,0))</x:f>
        <x:v>49</x:v>
      </x:c>
      <x:c r="G316" s="123" t="n">
        <x:f>IF(A316="","",IF(O316&lt;&gt;"",O316,IF(B316="Nebensaison",IF(C316="Wochenende",'00_Eingabe'!$E$24,'00_Eingabe'!$D$24),IF(B316="Hauptsaison",IF(C316="Wochenende",'00_Eingabe'!$E$25,'00_Eingabe'!$D$25),IF(B316="Weihnachten",IF(C316="Wochenende",'00_Eingabe'!$E$26,'00_Eingabe'!$D$26),IF(C316="Wochenende",'00_Eingabe'!$E$27,'00_Eingabe'!$D$27))))))</x:f>
        <x:v>0.75</x:v>
      </x:c>
      <x:c r="H316" s="122" t="n">
        <x:f>IF(OR(A316="",G316=""),"",ROUND('00_Eingabe'!$B$9*G316,0))</x:f>
        <x:v>3</x:v>
      </x:c>
      <x:c r="I316" s="122" t="n">
        <x:f>IF(H316="","",ROUND(H316*'00_Eingabe'!$B$19,0))</x:f>
        <x:v>7</x:v>
      </x:c>
      <x:c r="J316" s="122" t="n">
        <x:f>IF(OR(F316="",I316=""),"",F316+I316)</x:f>
        <x:v>56</x:v>
      </x:c>
      <x:c r="K316" s="122" t="n">
        <x:f>IF(J316="","",ROUND(J316*'00_Eingabe'!$B$16*(1+'00_Eingabe'!$B$14),0))</x:f>
        <x:v>64</x:v>
      </x:c>
      <x:c r="L316" s="122" t="n">
        <x:f>IF(B316="Betriebsferien",0,ROUND(J316*'00_Eingabe'!$B$40,0)+IF(C316="Wochenende",'00_Eingabe'!$B$42,'00_Eingabe'!$B$41))</x:f>
        <x:v>80</x:v>
      </x:c>
      <x:c r="M316" s="123" t="n">
        <x:f>IF(J316="","",ROUND(J316*'00_Eingabe'!$B$17*(1+'00_Eingabe'!$B$15),0))</x:f>
        <x:v>64</x:v>
      </x:c>
      <x:c r="N316" s="106"/>
      <x:c r="O316" s="106"/>
      <x:c r="P316" s="116"/>
      <x:c r="Q316" s="213" t="n">
        <x:f>IF(C316="Wochenende",1,0)</x:f>
        <x:v>1</x:v>
      </x:c>
      <x:c r="R316" s="213" t="n">
        <x:f>IF(AND(B316&lt;&gt;"Betriebsferien",OR(WEEKDAY(A316,2)=2,WEEKDAY(A316,2)=4)),1,0)</x:f>
        <x:v>0</x:v>
      </x:c>
      <x:c r="S316" s="214" t="n">
        <x:f>R316*MIN(1,'00_Eingabe'!$B$62/'00_Eingabe'!$B$61)</x:f>
        <x:v>0</x:v>
      </x:c>
      <x:c r="T316" s="213" t="n">
        <x:f>IF(B316="Betriebsferien",0,IF(B316="Nebensaison",IF(OR(WEEKDAY(A316,2)=1,WEEKDAY(A316,2)=3,WEEKDAY(A316,2)=5),1,0),IF(C316="Unterwoche",1,0)))</x:f>
        <x:v>0</x:v>
      </x:c>
      <x:c r="U316" s="213" t="n">
        <x:f>IF(B316="Betriebsferien",0,'00_Eingabe'!$G$24)</x:f>
        <x:v>8</x:v>
      </x:c>
    </x:row>
    <x:row r="317">
      <x:c r="A317" s="121" t="n">
        <x:f>IF(ROW()-4&lt;DATE('00_Eingabe'!$B$7+1,1,1)-DATE('00_Eingabe'!$B$7,1,1),DATE('00_Eingabe'!$B$7,1,1)+ROW()-4,"")</x:f>
        <x:v>45971</x:v>
      </x:c>
      <x:c r="B317" s="122" t="str">
        <x:f>IF(A317="","",IF(OR(AND(MONTH(A317)=12,DAY(A317)&gt;=20),AND(MONTH(A317)=1,DAY(A317)&lt;=2)),"Weihnachten",IF(OR(AND(MONTH(A317)=11,DAY(A317)&gt;=24),AND(MONTH(A317)=12,DAY(A317)&lt;=7)),"Betriebsferien",IF(OR(AND(MONTH(A317)=1,DAY(A317)&gt;=3),MONTH(A317)=2,MONTH(A317)=3,MONTH(A317)=4,MONTH(A317)=10,MONTH(A317)=11,AND(MONTH(A317)=12,DAY(A317)&lt;=15)),"Nebensaison","Hauptsaison"))))</x:f>
        <x:v>Nebensaison</x:v>
      </x:c>
      <x:c r="C317" s="122" t="str">
        <x:f>IF(A317="","",IF(WEEKDAY(A317,2)&gt;=6,"Wochenende","Unterwoche"))</x:f>
        <x:v>Unterwoche</x:v>
      </x:c>
      <x:c r="D317" s="123" t="n">
        <x:f>IF(A317="","",IF(N317&lt;&gt;"",N317,IF(B317="Nebensaison",IF(C317="Wochenende",'00_Eingabe'!$C$24,'00_Eingabe'!$B$24),IF(B317="Hauptsaison",IF(C317="Wochenende",'00_Eingabe'!$C$25,'00_Eingabe'!$B$25),IF(B317="Weihnachten",IF(C317="Wochenende",'00_Eingabe'!$C$26,'00_Eingabe'!$B$26),IF(C317="Wochenende",'00_Eingabe'!$C$27,'00_Eingabe'!$B$27))))))</x:f>
        <x:v>0.7</x:v>
      </x:c>
      <x:c r="E317" s="122" t="n">
        <x:f>IF(OR(A317="",D317=""),"",ROUND('00_Eingabe'!$B$8*D317,0))</x:f>
        <x:v>25</x:v>
      </x:c>
      <x:c r="F317" s="122" t="n">
        <x:f>IF(E317="","",ROUND(E317*'00_Eingabe'!$B$18,0))</x:f>
        <x:v>48</x:v>
      </x:c>
      <x:c r="G317" s="123" t="n">
        <x:f>IF(A317="","",IF(O317&lt;&gt;"",O317,IF(B317="Nebensaison",IF(C317="Wochenende",'00_Eingabe'!$E$24,'00_Eingabe'!$D$24),IF(B317="Hauptsaison",IF(C317="Wochenende",'00_Eingabe'!$E$25,'00_Eingabe'!$D$25),IF(B317="Weihnachten",IF(C317="Wochenende",'00_Eingabe'!$E$26,'00_Eingabe'!$D$26),IF(C317="Wochenende",'00_Eingabe'!$E$27,'00_Eingabe'!$D$27))))))</x:f>
        <x:v>0.7</x:v>
      </x:c>
      <x:c r="H317" s="122" t="n">
        <x:f>IF(OR(A317="",G317=""),"",ROUND('00_Eingabe'!$B$9*G317,0))</x:f>
        <x:v>3</x:v>
      </x:c>
      <x:c r="I317" s="122" t="n">
        <x:f>IF(H317="","",ROUND(H317*'00_Eingabe'!$B$19,0))</x:f>
        <x:v>7</x:v>
      </x:c>
      <x:c r="J317" s="122" t="n">
        <x:f>IF(OR(F317="",I317=""),"",F317+I317)</x:f>
        <x:v>55</x:v>
      </x:c>
      <x:c r="K317" s="122" t="n">
        <x:f>IF(J317="","",ROUND(J317*'00_Eingabe'!$B$16*(1+'00_Eingabe'!$B$14),0))</x:f>
        <x:v>63</x:v>
      </x:c>
      <x:c r="L317" s="122" t="n">
        <x:f>IF(B317="Betriebsferien",0,ROUND(J317*'00_Eingabe'!$B$40,0)+IF(C317="Wochenende",'00_Eingabe'!$B$42,'00_Eingabe'!$B$41))</x:f>
        <x:v>55</x:v>
      </x:c>
      <x:c r="M317" s="123" t="n">
        <x:f>IF(J317="","",ROUND(J317*'00_Eingabe'!$B$17*(1+'00_Eingabe'!$B$15),0))</x:f>
        <x:v>63</x:v>
      </x:c>
      <x:c r="N317" s="106"/>
      <x:c r="O317" s="106"/>
      <x:c r="P317" s="116"/>
      <x:c r="Q317" s="213" t="n">
        <x:f>IF(C317="Wochenende",1,0)</x:f>
        <x:v>0</x:v>
      </x:c>
      <x:c r="R317" s="213" t="n">
        <x:f>IF(AND(B317&lt;&gt;"Betriebsferien",OR(WEEKDAY(A317,2)=2,WEEKDAY(A317,2)=4)),1,0)</x:f>
        <x:v>0</x:v>
      </x:c>
      <x:c r="S317" s="214" t="n">
        <x:f>R317*MIN(1,'00_Eingabe'!$B$62/'00_Eingabe'!$B$61)</x:f>
        <x:v>0</x:v>
      </x:c>
      <x:c r="T317" s="213" t="n">
        <x:f>IF(B317="Betriebsferien",0,IF(B317="Nebensaison",IF(OR(WEEKDAY(A317,2)=1,WEEKDAY(A317,2)=3,WEEKDAY(A317,2)=5),1,0),IF(C317="Unterwoche",1,0)))</x:f>
        <x:v>1</x:v>
      </x:c>
      <x:c r="U317" s="213" t="n">
        <x:f>IF(B317="Betriebsferien",0,'00_Eingabe'!$G$24)</x:f>
        <x:v>8</x:v>
      </x:c>
    </x:row>
    <x:row r="318">
      <x:c r="A318" s="121" t="n">
        <x:f>IF(ROW()-4&lt;DATE('00_Eingabe'!$B$7+1,1,1)-DATE('00_Eingabe'!$B$7,1,1),DATE('00_Eingabe'!$B$7,1,1)+ROW()-4,"")</x:f>
        <x:v>45972</x:v>
      </x:c>
      <x:c r="B318" s="122" t="str">
        <x:f>IF(A318="","",IF(OR(AND(MONTH(A318)=12,DAY(A318)&gt;=20),AND(MONTH(A318)=1,DAY(A318)&lt;=2)),"Weihnachten",IF(OR(AND(MONTH(A318)=11,DAY(A318)&gt;=24),AND(MONTH(A318)=12,DAY(A318)&lt;=7)),"Betriebsferien",IF(OR(AND(MONTH(A318)=1,DAY(A318)&gt;=3),MONTH(A318)=2,MONTH(A318)=3,MONTH(A318)=4,MONTH(A318)=10,MONTH(A318)=11,AND(MONTH(A318)=12,DAY(A318)&lt;=15)),"Nebensaison","Hauptsaison"))))</x:f>
        <x:v>Nebensaison</x:v>
      </x:c>
      <x:c r="C318" s="122" t="str">
        <x:f>IF(A318="","",IF(WEEKDAY(A318,2)&gt;=6,"Wochenende","Unterwoche"))</x:f>
        <x:v>Unterwoche</x:v>
      </x:c>
      <x:c r="D318" s="123" t="n">
        <x:f>IF(A318="","",IF(N318&lt;&gt;"",N318,IF(B318="Nebensaison",IF(C318="Wochenende",'00_Eingabe'!$C$24,'00_Eingabe'!$B$24),IF(B318="Hauptsaison",IF(C318="Wochenende",'00_Eingabe'!$C$25,'00_Eingabe'!$B$25),IF(B318="Weihnachten",IF(C318="Wochenende",'00_Eingabe'!$C$26,'00_Eingabe'!$B$26),IF(C318="Wochenende",'00_Eingabe'!$C$27,'00_Eingabe'!$B$27))))))</x:f>
        <x:v>0.7</x:v>
      </x:c>
      <x:c r="E318" s="122" t="n">
        <x:f>IF(OR(A318="",D318=""),"",ROUND('00_Eingabe'!$B$8*D318,0))</x:f>
        <x:v>25</x:v>
      </x:c>
      <x:c r="F318" s="122" t="n">
        <x:f>IF(E318="","",ROUND(E318*'00_Eingabe'!$B$18,0))</x:f>
        <x:v>48</x:v>
      </x:c>
      <x:c r="G318" s="123" t="n">
        <x:f>IF(A318="","",IF(O318&lt;&gt;"",O318,IF(B318="Nebensaison",IF(C318="Wochenende",'00_Eingabe'!$E$24,'00_Eingabe'!$D$24),IF(B318="Hauptsaison",IF(C318="Wochenende",'00_Eingabe'!$E$25,'00_Eingabe'!$D$25),IF(B318="Weihnachten",IF(C318="Wochenende",'00_Eingabe'!$E$26,'00_Eingabe'!$D$26),IF(C318="Wochenende",'00_Eingabe'!$E$27,'00_Eingabe'!$D$27))))))</x:f>
        <x:v>0.7</x:v>
      </x:c>
      <x:c r="H318" s="122" t="n">
        <x:f>IF(OR(A318="",G318=""),"",ROUND('00_Eingabe'!$B$9*G318,0))</x:f>
        <x:v>3</x:v>
      </x:c>
      <x:c r="I318" s="122" t="n">
        <x:f>IF(H318="","",ROUND(H318*'00_Eingabe'!$B$19,0))</x:f>
        <x:v>7</x:v>
      </x:c>
      <x:c r="J318" s="122" t="n">
        <x:f>IF(OR(F318="",I318=""),"",F318+I318)</x:f>
        <x:v>55</x:v>
      </x:c>
      <x:c r="K318" s="122" t="n">
        <x:f>IF(J318="","",ROUND(J318*'00_Eingabe'!$B$16*(1+'00_Eingabe'!$B$14),0))</x:f>
        <x:v>63</x:v>
      </x:c>
      <x:c r="L318" s="122" t="n">
        <x:f>IF(B318="Betriebsferien",0,ROUND(J318*'00_Eingabe'!$B$40,0)+IF(C318="Wochenende",'00_Eingabe'!$B$42,'00_Eingabe'!$B$41))</x:f>
        <x:v>55</x:v>
      </x:c>
      <x:c r="M318" s="123" t="n">
        <x:f>IF(J318="","",ROUND(J318*'00_Eingabe'!$B$17*(1+'00_Eingabe'!$B$15),0))</x:f>
        <x:v>63</x:v>
      </x:c>
      <x:c r="N318" s="106"/>
      <x:c r="O318" s="106"/>
      <x:c r="P318" s="116"/>
      <x:c r="Q318" s="213" t="n">
        <x:f>IF(C318="Wochenende",1,0)</x:f>
        <x:v>0</x:v>
      </x:c>
      <x:c r="R318" s="213" t="n">
        <x:f>IF(AND(B318&lt;&gt;"Betriebsferien",OR(WEEKDAY(A318,2)=2,WEEKDAY(A318,2)=4)),1,0)</x:f>
        <x:v>1</x:v>
      </x:c>
      <x:c r="S318" s="214" t="n">
        <x:f>R318*MIN(1,'00_Eingabe'!$B$62/'00_Eingabe'!$B$61)</x:f>
        <x:v>0.5</x:v>
      </x:c>
      <x:c r="T318" s="213" t="n">
        <x:f>IF(B318="Betriebsferien",0,IF(B318="Nebensaison",IF(OR(WEEKDAY(A318,2)=1,WEEKDAY(A318,2)=3,WEEKDAY(A318,2)=5),1,0),IF(C318="Unterwoche",1,0)))</x:f>
        <x:v>0</x:v>
      </x:c>
      <x:c r="U318" s="213" t="n">
        <x:f>IF(B318="Betriebsferien",0,'00_Eingabe'!$G$24)</x:f>
        <x:v>8</x:v>
      </x:c>
    </x:row>
    <x:row r="319">
      <x:c r="A319" s="121" t="n">
        <x:f>IF(ROW()-4&lt;DATE('00_Eingabe'!$B$7+1,1,1)-DATE('00_Eingabe'!$B$7,1,1),DATE('00_Eingabe'!$B$7,1,1)+ROW()-4,"")</x:f>
        <x:v>45973</x:v>
      </x:c>
      <x:c r="B319" s="122" t="str">
        <x:f>IF(A319="","",IF(OR(AND(MONTH(A319)=12,DAY(A319)&gt;=20),AND(MONTH(A319)=1,DAY(A319)&lt;=2)),"Weihnachten",IF(OR(AND(MONTH(A319)=11,DAY(A319)&gt;=24),AND(MONTH(A319)=12,DAY(A319)&lt;=7)),"Betriebsferien",IF(OR(AND(MONTH(A319)=1,DAY(A319)&gt;=3),MONTH(A319)=2,MONTH(A319)=3,MONTH(A319)=4,MONTH(A319)=10,MONTH(A319)=11,AND(MONTH(A319)=12,DAY(A319)&lt;=15)),"Nebensaison","Hauptsaison"))))</x:f>
        <x:v>Nebensaison</x:v>
      </x:c>
      <x:c r="C319" s="122" t="str">
        <x:f>IF(A319="","",IF(WEEKDAY(A319,2)&gt;=6,"Wochenende","Unterwoche"))</x:f>
        <x:v>Unterwoche</x:v>
      </x:c>
      <x:c r="D319" s="123" t="n">
        <x:f>IF(A319="","",IF(N319&lt;&gt;"",N319,IF(B319="Nebensaison",IF(C319="Wochenende",'00_Eingabe'!$C$24,'00_Eingabe'!$B$24),IF(B319="Hauptsaison",IF(C319="Wochenende",'00_Eingabe'!$C$25,'00_Eingabe'!$B$25),IF(B319="Weihnachten",IF(C319="Wochenende",'00_Eingabe'!$C$26,'00_Eingabe'!$B$26),IF(C319="Wochenende",'00_Eingabe'!$C$27,'00_Eingabe'!$B$27))))))</x:f>
        <x:v>0.7</x:v>
      </x:c>
      <x:c r="E319" s="122" t="n">
        <x:f>IF(OR(A319="",D319=""),"",ROUND('00_Eingabe'!$B$8*D319,0))</x:f>
        <x:v>25</x:v>
      </x:c>
      <x:c r="F319" s="122" t="n">
        <x:f>IF(E319="","",ROUND(E319*'00_Eingabe'!$B$18,0))</x:f>
        <x:v>48</x:v>
      </x:c>
      <x:c r="G319" s="123" t="n">
        <x:f>IF(A319="","",IF(O319&lt;&gt;"",O319,IF(B319="Nebensaison",IF(C319="Wochenende",'00_Eingabe'!$E$24,'00_Eingabe'!$D$24),IF(B319="Hauptsaison",IF(C319="Wochenende",'00_Eingabe'!$E$25,'00_Eingabe'!$D$25),IF(B319="Weihnachten",IF(C319="Wochenende",'00_Eingabe'!$E$26,'00_Eingabe'!$D$26),IF(C319="Wochenende",'00_Eingabe'!$E$27,'00_Eingabe'!$D$27))))))</x:f>
        <x:v>0.7</x:v>
      </x:c>
      <x:c r="H319" s="122" t="n">
        <x:f>IF(OR(A319="",G319=""),"",ROUND('00_Eingabe'!$B$9*G319,0))</x:f>
        <x:v>3</x:v>
      </x:c>
      <x:c r="I319" s="122" t="n">
        <x:f>IF(H319="","",ROUND(H319*'00_Eingabe'!$B$19,0))</x:f>
        <x:v>7</x:v>
      </x:c>
      <x:c r="J319" s="122" t="n">
        <x:f>IF(OR(F319="",I319=""),"",F319+I319)</x:f>
        <x:v>55</x:v>
      </x:c>
      <x:c r="K319" s="122" t="n">
        <x:f>IF(J319="","",ROUND(J319*'00_Eingabe'!$B$16*(1+'00_Eingabe'!$B$14),0))</x:f>
        <x:v>63</x:v>
      </x:c>
      <x:c r="L319" s="122" t="n">
        <x:f>IF(B319="Betriebsferien",0,ROUND(J319*'00_Eingabe'!$B$40,0)+IF(C319="Wochenende",'00_Eingabe'!$B$42,'00_Eingabe'!$B$41))</x:f>
        <x:v>55</x:v>
      </x:c>
      <x:c r="M319" s="123" t="n">
        <x:f>IF(J319="","",ROUND(J319*'00_Eingabe'!$B$17*(1+'00_Eingabe'!$B$15),0))</x:f>
        <x:v>63</x:v>
      </x:c>
      <x:c r="N319" s="106"/>
      <x:c r="O319" s="106"/>
      <x:c r="P319" s="116"/>
      <x:c r="Q319" s="213" t="n">
        <x:f>IF(C319="Wochenende",1,0)</x:f>
        <x:v>0</x:v>
      </x:c>
      <x:c r="R319" s="213" t="n">
        <x:f>IF(AND(B319&lt;&gt;"Betriebsferien",OR(WEEKDAY(A319,2)=2,WEEKDAY(A319,2)=4)),1,0)</x:f>
        <x:v>0</x:v>
      </x:c>
      <x:c r="S319" s="214" t="n">
        <x:f>R319*MIN(1,'00_Eingabe'!$B$62/'00_Eingabe'!$B$61)</x:f>
        <x:v>0</x:v>
      </x:c>
      <x:c r="T319" s="213" t="n">
        <x:f>IF(B319="Betriebsferien",0,IF(B319="Nebensaison",IF(OR(WEEKDAY(A319,2)=1,WEEKDAY(A319,2)=3,WEEKDAY(A319,2)=5),1,0),IF(C319="Unterwoche",1,0)))</x:f>
        <x:v>1</x:v>
      </x:c>
      <x:c r="U319" s="213" t="n">
        <x:f>IF(B319="Betriebsferien",0,'00_Eingabe'!$G$24)</x:f>
        <x:v>8</x:v>
      </x:c>
    </x:row>
    <x:row r="320">
      <x:c r="A320" s="121" t="n">
        <x:f>IF(ROW()-4&lt;DATE('00_Eingabe'!$B$7+1,1,1)-DATE('00_Eingabe'!$B$7,1,1),DATE('00_Eingabe'!$B$7,1,1)+ROW()-4,"")</x:f>
        <x:v>45974</x:v>
      </x:c>
      <x:c r="B320" s="122" t="str">
        <x:f>IF(A320="","",IF(OR(AND(MONTH(A320)=12,DAY(A320)&gt;=20),AND(MONTH(A320)=1,DAY(A320)&lt;=2)),"Weihnachten",IF(OR(AND(MONTH(A320)=11,DAY(A320)&gt;=24),AND(MONTH(A320)=12,DAY(A320)&lt;=7)),"Betriebsferien",IF(OR(AND(MONTH(A320)=1,DAY(A320)&gt;=3),MONTH(A320)=2,MONTH(A320)=3,MONTH(A320)=4,MONTH(A320)=10,MONTH(A320)=11,AND(MONTH(A320)=12,DAY(A320)&lt;=15)),"Nebensaison","Hauptsaison"))))</x:f>
        <x:v>Nebensaison</x:v>
      </x:c>
      <x:c r="C320" s="122" t="str">
        <x:f>IF(A320="","",IF(WEEKDAY(A320,2)&gt;=6,"Wochenende","Unterwoche"))</x:f>
        <x:v>Unterwoche</x:v>
      </x:c>
      <x:c r="D320" s="123" t="n">
        <x:f>IF(A320="","",IF(N320&lt;&gt;"",N320,IF(B320="Nebensaison",IF(C320="Wochenende",'00_Eingabe'!$C$24,'00_Eingabe'!$B$24),IF(B320="Hauptsaison",IF(C320="Wochenende",'00_Eingabe'!$C$25,'00_Eingabe'!$B$25),IF(B320="Weihnachten",IF(C320="Wochenende",'00_Eingabe'!$C$26,'00_Eingabe'!$B$26),IF(C320="Wochenende",'00_Eingabe'!$C$27,'00_Eingabe'!$B$27))))))</x:f>
        <x:v>0.7</x:v>
      </x:c>
      <x:c r="E320" s="122" t="n">
        <x:f>IF(OR(A320="",D320=""),"",ROUND('00_Eingabe'!$B$8*D320,0))</x:f>
        <x:v>25</x:v>
      </x:c>
      <x:c r="F320" s="122" t="n">
        <x:f>IF(E320="","",ROUND(E320*'00_Eingabe'!$B$18,0))</x:f>
        <x:v>48</x:v>
      </x:c>
      <x:c r="G320" s="123" t="n">
        <x:f>IF(A320="","",IF(O320&lt;&gt;"",O320,IF(B320="Nebensaison",IF(C320="Wochenende",'00_Eingabe'!$E$24,'00_Eingabe'!$D$24),IF(B320="Hauptsaison",IF(C320="Wochenende",'00_Eingabe'!$E$25,'00_Eingabe'!$D$25),IF(B320="Weihnachten",IF(C320="Wochenende",'00_Eingabe'!$E$26,'00_Eingabe'!$D$26),IF(C320="Wochenende",'00_Eingabe'!$E$27,'00_Eingabe'!$D$27))))))</x:f>
        <x:v>0.7</x:v>
      </x:c>
      <x:c r="H320" s="122" t="n">
        <x:f>IF(OR(A320="",G320=""),"",ROUND('00_Eingabe'!$B$9*G320,0))</x:f>
        <x:v>3</x:v>
      </x:c>
      <x:c r="I320" s="122" t="n">
        <x:f>IF(H320="","",ROUND(H320*'00_Eingabe'!$B$19,0))</x:f>
        <x:v>7</x:v>
      </x:c>
      <x:c r="J320" s="122" t="n">
        <x:f>IF(OR(F320="",I320=""),"",F320+I320)</x:f>
        <x:v>55</x:v>
      </x:c>
      <x:c r="K320" s="122" t="n">
        <x:f>IF(J320="","",ROUND(J320*'00_Eingabe'!$B$16*(1+'00_Eingabe'!$B$14),0))</x:f>
        <x:v>63</x:v>
      </x:c>
      <x:c r="L320" s="122" t="n">
        <x:f>IF(B320="Betriebsferien",0,ROUND(J320*'00_Eingabe'!$B$40,0)+IF(C320="Wochenende",'00_Eingabe'!$B$42,'00_Eingabe'!$B$41))</x:f>
        <x:v>55</x:v>
      </x:c>
      <x:c r="M320" s="123" t="n">
        <x:f>IF(J320="","",ROUND(J320*'00_Eingabe'!$B$17*(1+'00_Eingabe'!$B$15),0))</x:f>
        <x:v>63</x:v>
      </x:c>
      <x:c r="N320" s="106"/>
      <x:c r="O320" s="106"/>
      <x:c r="P320" s="116"/>
      <x:c r="Q320" s="213" t="n">
        <x:f>IF(C320="Wochenende",1,0)</x:f>
        <x:v>0</x:v>
      </x:c>
      <x:c r="R320" s="213" t="n">
        <x:f>IF(AND(B320&lt;&gt;"Betriebsferien",OR(WEEKDAY(A320,2)=2,WEEKDAY(A320,2)=4)),1,0)</x:f>
        <x:v>1</x:v>
      </x:c>
      <x:c r="S320" s="214" t="n">
        <x:f>R320*MIN(1,'00_Eingabe'!$B$62/'00_Eingabe'!$B$61)</x:f>
        <x:v>0.5</x:v>
      </x:c>
      <x:c r="T320" s="213" t="n">
        <x:f>IF(B320="Betriebsferien",0,IF(B320="Nebensaison",IF(OR(WEEKDAY(A320,2)=1,WEEKDAY(A320,2)=3,WEEKDAY(A320,2)=5),1,0),IF(C320="Unterwoche",1,0)))</x:f>
        <x:v>0</x:v>
      </x:c>
      <x:c r="U320" s="213" t="n">
        <x:f>IF(B320="Betriebsferien",0,'00_Eingabe'!$G$24)</x:f>
        <x:v>8</x:v>
      </x:c>
    </x:row>
    <x:row r="321">
      <x:c r="A321" s="121" t="n">
        <x:f>IF(ROW()-4&lt;DATE('00_Eingabe'!$B$7+1,1,1)-DATE('00_Eingabe'!$B$7,1,1),DATE('00_Eingabe'!$B$7,1,1)+ROW()-4,"")</x:f>
        <x:v>45975</x:v>
      </x:c>
      <x:c r="B321" s="122" t="str">
        <x:f>IF(A321="","",IF(OR(AND(MONTH(A321)=12,DAY(A321)&gt;=20),AND(MONTH(A321)=1,DAY(A321)&lt;=2)),"Weihnachten",IF(OR(AND(MONTH(A321)=11,DAY(A321)&gt;=24),AND(MONTH(A321)=12,DAY(A321)&lt;=7)),"Betriebsferien",IF(OR(AND(MONTH(A321)=1,DAY(A321)&gt;=3),MONTH(A321)=2,MONTH(A321)=3,MONTH(A321)=4,MONTH(A321)=10,MONTH(A321)=11,AND(MONTH(A321)=12,DAY(A321)&lt;=15)),"Nebensaison","Hauptsaison"))))</x:f>
        <x:v>Nebensaison</x:v>
      </x:c>
      <x:c r="C321" s="122" t="str">
        <x:f>IF(A321="","",IF(WEEKDAY(A321,2)&gt;=6,"Wochenende","Unterwoche"))</x:f>
        <x:v>Unterwoche</x:v>
      </x:c>
      <x:c r="D321" s="123" t="n">
        <x:f>IF(A321="","",IF(N321&lt;&gt;"",N321,IF(B321="Nebensaison",IF(C321="Wochenende",'00_Eingabe'!$C$24,'00_Eingabe'!$B$24),IF(B321="Hauptsaison",IF(C321="Wochenende",'00_Eingabe'!$C$25,'00_Eingabe'!$B$25),IF(B321="Weihnachten",IF(C321="Wochenende",'00_Eingabe'!$C$26,'00_Eingabe'!$B$26),IF(C321="Wochenende",'00_Eingabe'!$C$27,'00_Eingabe'!$B$27))))))</x:f>
        <x:v>0.7</x:v>
      </x:c>
      <x:c r="E321" s="122" t="n">
        <x:f>IF(OR(A321="",D321=""),"",ROUND('00_Eingabe'!$B$8*D321,0))</x:f>
        <x:v>25</x:v>
      </x:c>
      <x:c r="F321" s="122" t="n">
        <x:f>IF(E321="","",ROUND(E321*'00_Eingabe'!$B$18,0))</x:f>
        <x:v>48</x:v>
      </x:c>
      <x:c r="G321" s="123" t="n">
        <x:f>IF(A321="","",IF(O321&lt;&gt;"",O321,IF(B321="Nebensaison",IF(C321="Wochenende",'00_Eingabe'!$E$24,'00_Eingabe'!$D$24),IF(B321="Hauptsaison",IF(C321="Wochenende",'00_Eingabe'!$E$25,'00_Eingabe'!$D$25),IF(B321="Weihnachten",IF(C321="Wochenende",'00_Eingabe'!$E$26,'00_Eingabe'!$D$26),IF(C321="Wochenende",'00_Eingabe'!$E$27,'00_Eingabe'!$D$27))))))</x:f>
        <x:v>0.7</x:v>
      </x:c>
      <x:c r="H321" s="122" t="n">
        <x:f>IF(OR(A321="",G321=""),"",ROUND('00_Eingabe'!$B$9*G321,0))</x:f>
        <x:v>3</x:v>
      </x:c>
      <x:c r="I321" s="122" t="n">
        <x:f>IF(H321="","",ROUND(H321*'00_Eingabe'!$B$19,0))</x:f>
        <x:v>7</x:v>
      </x:c>
      <x:c r="J321" s="122" t="n">
        <x:f>IF(OR(F321="",I321=""),"",F321+I321)</x:f>
        <x:v>55</x:v>
      </x:c>
      <x:c r="K321" s="122" t="n">
        <x:f>IF(J321="","",ROUND(J321*'00_Eingabe'!$B$16*(1+'00_Eingabe'!$B$14),0))</x:f>
        <x:v>63</x:v>
      </x:c>
      <x:c r="L321" s="122" t="n">
        <x:f>IF(B321="Betriebsferien",0,ROUND(J321*'00_Eingabe'!$B$40,0)+IF(C321="Wochenende",'00_Eingabe'!$B$42,'00_Eingabe'!$B$41))</x:f>
        <x:v>55</x:v>
      </x:c>
      <x:c r="M321" s="123" t="n">
        <x:f>IF(J321="","",ROUND(J321*'00_Eingabe'!$B$17*(1+'00_Eingabe'!$B$15),0))</x:f>
        <x:v>63</x:v>
      </x:c>
      <x:c r="N321" s="106"/>
      <x:c r="O321" s="106"/>
      <x:c r="P321" s="116"/>
      <x:c r="Q321" s="213" t="n">
        <x:f>IF(C321="Wochenende",1,0)</x:f>
        <x:v>0</x:v>
      </x:c>
      <x:c r="R321" s="213" t="n">
        <x:f>IF(AND(B321&lt;&gt;"Betriebsferien",OR(WEEKDAY(A321,2)=2,WEEKDAY(A321,2)=4)),1,0)</x:f>
        <x:v>0</x:v>
      </x:c>
      <x:c r="S321" s="214" t="n">
        <x:f>R321*MIN(1,'00_Eingabe'!$B$62/'00_Eingabe'!$B$61)</x:f>
        <x:v>0</x:v>
      </x:c>
      <x:c r="T321" s="213" t="n">
        <x:f>IF(B321="Betriebsferien",0,IF(B321="Nebensaison",IF(OR(WEEKDAY(A321,2)=1,WEEKDAY(A321,2)=3,WEEKDAY(A321,2)=5),1,0),IF(C321="Unterwoche",1,0)))</x:f>
        <x:v>1</x:v>
      </x:c>
      <x:c r="U321" s="213" t="n">
        <x:f>IF(B321="Betriebsferien",0,'00_Eingabe'!$G$24)</x:f>
        <x:v>8</x:v>
      </x:c>
    </x:row>
    <x:row r="322">
      <x:c r="A322" s="121" t="n">
        <x:f>IF(ROW()-4&lt;DATE('00_Eingabe'!$B$7+1,1,1)-DATE('00_Eingabe'!$B$7,1,1),DATE('00_Eingabe'!$B$7,1,1)+ROW()-4,"")</x:f>
        <x:v>45976</x:v>
      </x:c>
      <x:c r="B322" s="122" t="str">
        <x:f>IF(A322="","",IF(OR(AND(MONTH(A322)=12,DAY(A322)&gt;=20),AND(MONTH(A322)=1,DAY(A322)&lt;=2)),"Weihnachten",IF(OR(AND(MONTH(A322)=11,DAY(A322)&gt;=24),AND(MONTH(A322)=12,DAY(A322)&lt;=7)),"Betriebsferien",IF(OR(AND(MONTH(A322)=1,DAY(A322)&gt;=3),MONTH(A322)=2,MONTH(A322)=3,MONTH(A322)=4,MONTH(A322)=10,MONTH(A322)=11,AND(MONTH(A322)=12,DAY(A322)&lt;=15)),"Nebensaison","Hauptsaison"))))</x:f>
        <x:v>Nebensaison</x:v>
      </x:c>
      <x:c r="C322" s="122" t="str">
        <x:f>IF(A322="","",IF(WEEKDAY(A322,2)&gt;=6,"Wochenende","Unterwoche"))</x:f>
        <x:v>Wochenende</x:v>
      </x:c>
      <x:c r="D322" s="123" t="n">
        <x:f>IF(A322="","",IF(N322&lt;&gt;"",N322,IF(B322="Nebensaison",IF(C322="Wochenende",'00_Eingabe'!$C$24,'00_Eingabe'!$B$24),IF(B322="Hauptsaison",IF(C322="Wochenende",'00_Eingabe'!$C$25,'00_Eingabe'!$B$25),IF(B322="Weihnachten",IF(C322="Wochenende",'00_Eingabe'!$C$26,'00_Eingabe'!$B$26),IF(C322="Wochenende",'00_Eingabe'!$C$27,'00_Eingabe'!$B$27))))))</x:f>
        <x:v>0.75</x:v>
      </x:c>
      <x:c r="E322" s="122" t="n">
        <x:f>IF(OR(A322="",D322=""),"",ROUND('00_Eingabe'!$B$8*D322,0))</x:f>
        <x:v>26</x:v>
      </x:c>
      <x:c r="F322" s="122" t="n">
        <x:f>IF(E322="","",ROUND(E322*'00_Eingabe'!$B$18,0))</x:f>
        <x:v>49</x:v>
      </x:c>
      <x:c r="G322" s="123" t="n">
        <x:f>IF(A322="","",IF(O322&lt;&gt;"",O322,IF(B322="Nebensaison",IF(C322="Wochenende",'00_Eingabe'!$E$24,'00_Eingabe'!$D$24),IF(B322="Hauptsaison",IF(C322="Wochenende",'00_Eingabe'!$E$25,'00_Eingabe'!$D$25),IF(B322="Weihnachten",IF(C322="Wochenende",'00_Eingabe'!$E$26,'00_Eingabe'!$D$26),IF(C322="Wochenende",'00_Eingabe'!$E$27,'00_Eingabe'!$D$27))))))</x:f>
        <x:v>0.75</x:v>
      </x:c>
      <x:c r="H322" s="122" t="n">
        <x:f>IF(OR(A322="",G322=""),"",ROUND('00_Eingabe'!$B$9*G322,0))</x:f>
        <x:v>3</x:v>
      </x:c>
      <x:c r="I322" s="122" t="n">
        <x:f>IF(H322="","",ROUND(H322*'00_Eingabe'!$B$19,0))</x:f>
        <x:v>7</x:v>
      </x:c>
      <x:c r="J322" s="122" t="n">
        <x:f>IF(OR(F322="",I322=""),"",F322+I322)</x:f>
        <x:v>56</x:v>
      </x:c>
      <x:c r="K322" s="122" t="n">
        <x:f>IF(J322="","",ROUND(J322*'00_Eingabe'!$B$16*(1+'00_Eingabe'!$B$14),0))</x:f>
        <x:v>64</x:v>
      </x:c>
      <x:c r="L322" s="122" t="n">
        <x:f>IF(B322="Betriebsferien",0,ROUND(J322*'00_Eingabe'!$B$40,0)+IF(C322="Wochenende",'00_Eingabe'!$B$42,'00_Eingabe'!$B$41))</x:f>
        <x:v>80</x:v>
      </x:c>
      <x:c r="M322" s="123" t="n">
        <x:f>IF(J322="","",ROUND(J322*'00_Eingabe'!$B$17*(1+'00_Eingabe'!$B$15),0))</x:f>
        <x:v>64</x:v>
      </x:c>
      <x:c r="N322" s="106"/>
      <x:c r="O322" s="106"/>
      <x:c r="P322" s="116"/>
      <x:c r="Q322" s="213" t="n">
        <x:f>IF(C322="Wochenende",1,0)</x:f>
        <x:v>1</x:v>
      </x:c>
      <x:c r="R322" s="213" t="n">
        <x:f>IF(AND(B322&lt;&gt;"Betriebsferien",OR(WEEKDAY(A322,2)=2,WEEKDAY(A322,2)=4)),1,0)</x:f>
        <x:v>0</x:v>
      </x:c>
      <x:c r="S322" s="214" t="n">
        <x:f>R322*MIN(1,'00_Eingabe'!$B$62/'00_Eingabe'!$B$61)</x:f>
        <x:v>0</x:v>
      </x:c>
      <x:c r="T322" s="213" t="n">
        <x:f>IF(B322="Betriebsferien",0,IF(B322="Nebensaison",IF(OR(WEEKDAY(A322,2)=1,WEEKDAY(A322,2)=3,WEEKDAY(A322,2)=5),1,0),IF(C322="Unterwoche",1,0)))</x:f>
        <x:v>0</x:v>
      </x:c>
      <x:c r="U322" s="213" t="n">
        <x:f>IF(B322="Betriebsferien",0,'00_Eingabe'!$G$24)</x:f>
        <x:v>8</x:v>
      </x:c>
    </x:row>
    <x:row r="323">
      <x:c r="A323" s="121" t="n">
        <x:f>IF(ROW()-4&lt;DATE('00_Eingabe'!$B$7+1,1,1)-DATE('00_Eingabe'!$B$7,1,1),DATE('00_Eingabe'!$B$7,1,1)+ROW()-4,"")</x:f>
        <x:v>45977</x:v>
      </x:c>
      <x:c r="B323" s="122" t="str">
        <x:f>IF(A323="","",IF(OR(AND(MONTH(A323)=12,DAY(A323)&gt;=20),AND(MONTH(A323)=1,DAY(A323)&lt;=2)),"Weihnachten",IF(OR(AND(MONTH(A323)=11,DAY(A323)&gt;=24),AND(MONTH(A323)=12,DAY(A323)&lt;=7)),"Betriebsferien",IF(OR(AND(MONTH(A323)=1,DAY(A323)&gt;=3),MONTH(A323)=2,MONTH(A323)=3,MONTH(A323)=4,MONTH(A323)=10,MONTH(A323)=11,AND(MONTH(A323)=12,DAY(A323)&lt;=15)),"Nebensaison","Hauptsaison"))))</x:f>
        <x:v>Nebensaison</x:v>
      </x:c>
      <x:c r="C323" s="122" t="str">
        <x:f>IF(A323="","",IF(WEEKDAY(A323,2)&gt;=6,"Wochenende","Unterwoche"))</x:f>
        <x:v>Wochenende</x:v>
      </x:c>
      <x:c r="D323" s="123" t="n">
        <x:f>IF(A323="","",IF(N323&lt;&gt;"",N323,IF(B323="Nebensaison",IF(C323="Wochenende",'00_Eingabe'!$C$24,'00_Eingabe'!$B$24),IF(B323="Hauptsaison",IF(C323="Wochenende",'00_Eingabe'!$C$25,'00_Eingabe'!$B$25),IF(B323="Weihnachten",IF(C323="Wochenende",'00_Eingabe'!$C$26,'00_Eingabe'!$B$26),IF(C323="Wochenende",'00_Eingabe'!$C$27,'00_Eingabe'!$B$27))))))</x:f>
        <x:v>0.75</x:v>
      </x:c>
      <x:c r="E323" s="122" t="n">
        <x:f>IF(OR(A323="",D323=""),"",ROUND('00_Eingabe'!$B$8*D323,0))</x:f>
        <x:v>26</x:v>
      </x:c>
      <x:c r="F323" s="122" t="n">
        <x:f>IF(E323="","",ROUND(E323*'00_Eingabe'!$B$18,0))</x:f>
        <x:v>49</x:v>
      </x:c>
      <x:c r="G323" s="123" t="n">
        <x:f>IF(A323="","",IF(O323&lt;&gt;"",O323,IF(B323="Nebensaison",IF(C323="Wochenende",'00_Eingabe'!$E$24,'00_Eingabe'!$D$24),IF(B323="Hauptsaison",IF(C323="Wochenende",'00_Eingabe'!$E$25,'00_Eingabe'!$D$25),IF(B323="Weihnachten",IF(C323="Wochenende",'00_Eingabe'!$E$26,'00_Eingabe'!$D$26),IF(C323="Wochenende",'00_Eingabe'!$E$27,'00_Eingabe'!$D$27))))))</x:f>
        <x:v>0.75</x:v>
      </x:c>
      <x:c r="H323" s="122" t="n">
        <x:f>IF(OR(A323="",G323=""),"",ROUND('00_Eingabe'!$B$9*G323,0))</x:f>
        <x:v>3</x:v>
      </x:c>
      <x:c r="I323" s="122" t="n">
        <x:f>IF(H323="","",ROUND(H323*'00_Eingabe'!$B$19,0))</x:f>
        <x:v>7</x:v>
      </x:c>
      <x:c r="J323" s="122" t="n">
        <x:f>IF(OR(F323="",I323=""),"",F323+I323)</x:f>
        <x:v>56</x:v>
      </x:c>
      <x:c r="K323" s="122" t="n">
        <x:f>IF(J323="","",ROUND(J323*'00_Eingabe'!$B$16*(1+'00_Eingabe'!$B$14),0))</x:f>
        <x:v>64</x:v>
      </x:c>
      <x:c r="L323" s="122" t="n">
        <x:f>IF(B323="Betriebsferien",0,ROUND(J323*'00_Eingabe'!$B$40,0)+IF(C323="Wochenende",'00_Eingabe'!$B$42,'00_Eingabe'!$B$41))</x:f>
        <x:v>80</x:v>
      </x:c>
      <x:c r="M323" s="123" t="n">
        <x:f>IF(J323="","",ROUND(J323*'00_Eingabe'!$B$17*(1+'00_Eingabe'!$B$15),0))</x:f>
        <x:v>64</x:v>
      </x:c>
      <x:c r="N323" s="106"/>
      <x:c r="O323" s="106"/>
      <x:c r="P323" s="116"/>
      <x:c r="Q323" s="213" t="n">
        <x:f>IF(C323="Wochenende",1,0)</x:f>
        <x:v>1</x:v>
      </x:c>
      <x:c r="R323" s="213" t="n">
        <x:f>IF(AND(B323&lt;&gt;"Betriebsferien",OR(WEEKDAY(A323,2)=2,WEEKDAY(A323,2)=4)),1,0)</x:f>
        <x:v>0</x:v>
      </x:c>
      <x:c r="S323" s="214" t="n">
        <x:f>R323*MIN(1,'00_Eingabe'!$B$62/'00_Eingabe'!$B$61)</x:f>
        <x:v>0</x:v>
      </x:c>
      <x:c r="T323" s="213" t="n">
        <x:f>IF(B323="Betriebsferien",0,IF(B323="Nebensaison",IF(OR(WEEKDAY(A323,2)=1,WEEKDAY(A323,2)=3,WEEKDAY(A323,2)=5),1,0),IF(C323="Unterwoche",1,0)))</x:f>
        <x:v>0</x:v>
      </x:c>
      <x:c r="U323" s="213" t="n">
        <x:f>IF(B323="Betriebsferien",0,'00_Eingabe'!$G$24)</x:f>
        <x:v>8</x:v>
      </x:c>
    </x:row>
    <x:row r="324">
      <x:c r="A324" s="121" t="n">
        <x:f>IF(ROW()-4&lt;DATE('00_Eingabe'!$B$7+1,1,1)-DATE('00_Eingabe'!$B$7,1,1),DATE('00_Eingabe'!$B$7,1,1)+ROW()-4,"")</x:f>
        <x:v>45978</x:v>
      </x:c>
      <x:c r="B324" s="122" t="str">
        <x:f>IF(A324="","",IF(OR(AND(MONTH(A324)=12,DAY(A324)&gt;=20),AND(MONTH(A324)=1,DAY(A324)&lt;=2)),"Weihnachten",IF(OR(AND(MONTH(A324)=11,DAY(A324)&gt;=24),AND(MONTH(A324)=12,DAY(A324)&lt;=7)),"Betriebsferien",IF(OR(AND(MONTH(A324)=1,DAY(A324)&gt;=3),MONTH(A324)=2,MONTH(A324)=3,MONTH(A324)=4,MONTH(A324)=10,MONTH(A324)=11,AND(MONTH(A324)=12,DAY(A324)&lt;=15)),"Nebensaison","Hauptsaison"))))</x:f>
        <x:v>Nebensaison</x:v>
      </x:c>
      <x:c r="C324" s="122" t="str">
        <x:f>IF(A324="","",IF(WEEKDAY(A324,2)&gt;=6,"Wochenende","Unterwoche"))</x:f>
        <x:v>Unterwoche</x:v>
      </x:c>
      <x:c r="D324" s="123" t="n">
        <x:f>IF(A324="","",IF(N324&lt;&gt;"",N324,IF(B324="Nebensaison",IF(C324="Wochenende",'00_Eingabe'!$C$24,'00_Eingabe'!$B$24),IF(B324="Hauptsaison",IF(C324="Wochenende",'00_Eingabe'!$C$25,'00_Eingabe'!$B$25),IF(B324="Weihnachten",IF(C324="Wochenende",'00_Eingabe'!$C$26,'00_Eingabe'!$B$26),IF(C324="Wochenende",'00_Eingabe'!$C$27,'00_Eingabe'!$B$27))))))</x:f>
        <x:v>0.7</x:v>
      </x:c>
      <x:c r="E324" s="122" t="n">
        <x:f>IF(OR(A324="",D324=""),"",ROUND('00_Eingabe'!$B$8*D324,0))</x:f>
        <x:v>25</x:v>
      </x:c>
      <x:c r="F324" s="122" t="n">
        <x:f>IF(E324="","",ROUND(E324*'00_Eingabe'!$B$18,0))</x:f>
        <x:v>48</x:v>
      </x:c>
      <x:c r="G324" s="123" t="n">
        <x:f>IF(A324="","",IF(O324&lt;&gt;"",O324,IF(B324="Nebensaison",IF(C324="Wochenende",'00_Eingabe'!$E$24,'00_Eingabe'!$D$24),IF(B324="Hauptsaison",IF(C324="Wochenende",'00_Eingabe'!$E$25,'00_Eingabe'!$D$25),IF(B324="Weihnachten",IF(C324="Wochenende",'00_Eingabe'!$E$26,'00_Eingabe'!$D$26),IF(C324="Wochenende",'00_Eingabe'!$E$27,'00_Eingabe'!$D$27))))))</x:f>
        <x:v>0.7</x:v>
      </x:c>
      <x:c r="H324" s="122" t="n">
        <x:f>IF(OR(A324="",G324=""),"",ROUND('00_Eingabe'!$B$9*G324,0))</x:f>
        <x:v>3</x:v>
      </x:c>
      <x:c r="I324" s="122" t="n">
        <x:f>IF(H324="","",ROUND(H324*'00_Eingabe'!$B$19,0))</x:f>
        <x:v>7</x:v>
      </x:c>
      <x:c r="J324" s="122" t="n">
        <x:f>IF(OR(F324="",I324=""),"",F324+I324)</x:f>
        <x:v>55</x:v>
      </x:c>
      <x:c r="K324" s="122" t="n">
        <x:f>IF(J324="","",ROUND(J324*'00_Eingabe'!$B$16*(1+'00_Eingabe'!$B$14),0))</x:f>
        <x:v>63</x:v>
      </x:c>
      <x:c r="L324" s="122" t="n">
        <x:f>IF(B324="Betriebsferien",0,ROUND(J324*'00_Eingabe'!$B$40,0)+IF(C324="Wochenende",'00_Eingabe'!$B$42,'00_Eingabe'!$B$41))</x:f>
        <x:v>55</x:v>
      </x:c>
      <x:c r="M324" s="123" t="n">
        <x:f>IF(J324="","",ROUND(J324*'00_Eingabe'!$B$17*(1+'00_Eingabe'!$B$15),0))</x:f>
        <x:v>63</x:v>
      </x:c>
      <x:c r="N324" s="106"/>
      <x:c r="O324" s="106"/>
      <x:c r="P324" s="116"/>
      <x:c r="Q324" s="213" t="n">
        <x:f>IF(C324="Wochenende",1,0)</x:f>
        <x:v>0</x:v>
      </x:c>
      <x:c r="R324" s="213" t="n">
        <x:f>IF(AND(B324&lt;&gt;"Betriebsferien",OR(WEEKDAY(A324,2)=2,WEEKDAY(A324,2)=4)),1,0)</x:f>
        <x:v>0</x:v>
      </x:c>
      <x:c r="S324" s="214" t="n">
        <x:f>R324*MIN(1,'00_Eingabe'!$B$62/'00_Eingabe'!$B$61)</x:f>
        <x:v>0</x:v>
      </x:c>
      <x:c r="T324" s="213" t="n">
        <x:f>IF(B324="Betriebsferien",0,IF(B324="Nebensaison",IF(OR(WEEKDAY(A324,2)=1,WEEKDAY(A324,2)=3,WEEKDAY(A324,2)=5),1,0),IF(C324="Unterwoche",1,0)))</x:f>
        <x:v>1</x:v>
      </x:c>
      <x:c r="U324" s="213" t="n">
        <x:f>IF(B324="Betriebsferien",0,'00_Eingabe'!$G$24)</x:f>
        <x:v>8</x:v>
      </x:c>
    </x:row>
    <x:row r="325">
      <x:c r="A325" s="121" t="n">
        <x:f>IF(ROW()-4&lt;DATE('00_Eingabe'!$B$7+1,1,1)-DATE('00_Eingabe'!$B$7,1,1),DATE('00_Eingabe'!$B$7,1,1)+ROW()-4,"")</x:f>
        <x:v>45979</x:v>
      </x:c>
      <x:c r="B325" s="122" t="str">
        <x:f>IF(A325="","",IF(OR(AND(MONTH(A325)=12,DAY(A325)&gt;=20),AND(MONTH(A325)=1,DAY(A325)&lt;=2)),"Weihnachten",IF(OR(AND(MONTH(A325)=11,DAY(A325)&gt;=24),AND(MONTH(A325)=12,DAY(A325)&lt;=7)),"Betriebsferien",IF(OR(AND(MONTH(A325)=1,DAY(A325)&gt;=3),MONTH(A325)=2,MONTH(A325)=3,MONTH(A325)=4,MONTH(A325)=10,MONTH(A325)=11,AND(MONTH(A325)=12,DAY(A325)&lt;=15)),"Nebensaison","Hauptsaison"))))</x:f>
        <x:v>Nebensaison</x:v>
      </x:c>
      <x:c r="C325" s="122" t="str">
        <x:f>IF(A325="","",IF(WEEKDAY(A325,2)&gt;=6,"Wochenende","Unterwoche"))</x:f>
        <x:v>Unterwoche</x:v>
      </x:c>
      <x:c r="D325" s="123" t="n">
        <x:f>IF(A325="","",IF(N325&lt;&gt;"",N325,IF(B325="Nebensaison",IF(C325="Wochenende",'00_Eingabe'!$C$24,'00_Eingabe'!$B$24),IF(B325="Hauptsaison",IF(C325="Wochenende",'00_Eingabe'!$C$25,'00_Eingabe'!$B$25),IF(B325="Weihnachten",IF(C325="Wochenende",'00_Eingabe'!$C$26,'00_Eingabe'!$B$26),IF(C325="Wochenende",'00_Eingabe'!$C$27,'00_Eingabe'!$B$27))))))</x:f>
        <x:v>0.7</x:v>
      </x:c>
      <x:c r="E325" s="122" t="n">
        <x:f>IF(OR(A325="",D325=""),"",ROUND('00_Eingabe'!$B$8*D325,0))</x:f>
        <x:v>25</x:v>
      </x:c>
      <x:c r="F325" s="122" t="n">
        <x:f>IF(E325="","",ROUND(E325*'00_Eingabe'!$B$18,0))</x:f>
        <x:v>48</x:v>
      </x:c>
      <x:c r="G325" s="123" t="n">
        <x:f>IF(A325="","",IF(O325&lt;&gt;"",O325,IF(B325="Nebensaison",IF(C325="Wochenende",'00_Eingabe'!$E$24,'00_Eingabe'!$D$24),IF(B325="Hauptsaison",IF(C325="Wochenende",'00_Eingabe'!$E$25,'00_Eingabe'!$D$25),IF(B325="Weihnachten",IF(C325="Wochenende",'00_Eingabe'!$E$26,'00_Eingabe'!$D$26),IF(C325="Wochenende",'00_Eingabe'!$E$27,'00_Eingabe'!$D$27))))))</x:f>
        <x:v>0.7</x:v>
      </x:c>
      <x:c r="H325" s="122" t="n">
        <x:f>IF(OR(A325="",G325=""),"",ROUND('00_Eingabe'!$B$9*G325,0))</x:f>
        <x:v>3</x:v>
      </x:c>
      <x:c r="I325" s="122" t="n">
        <x:f>IF(H325="","",ROUND(H325*'00_Eingabe'!$B$19,0))</x:f>
        <x:v>7</x:v>
      </x:c>
      <x:c r="J325" s="122" t="n">
        <x:f>IF(OR(F325="",I325=""),"",F325+I325)</x:f>
        <x:v>55</x:v>
      </x:c>
      <x:c r="K325" s="122" t="n">
        <x:f>IF(J325="","",ROUND(J325*'00_Eingabe'!$B$16*(1+'00_Eingabe'!$B$14),0))</x:f>
        <x:v>63</x:v>
      </x:c>
      <x:c r="L325" s="122" t="n">
        <x:f>IF(B325="Betriebsferien",0,ROUND(J325*'00_Eingabe'!$B$40,0)+IF(C325="Wochenende",'00_Eingabe'!$B$42,'00_Eingabe'!$B$41))</x:f>
        <x:v>55</x:v>
      </x:c>
      <x:c r="M325" s="123" t="n">
        <x:f>IF(J325="","",ROUND(J325*'00_Eingabe'!$B$17*(1+'00_Eingabe'!$B$15),0))</x:f>
        <x:v>63</x:v>
      </x:c>
      <x:c r="N325" s="106"/>
      <x:c r="O325" s="106"/>
      <x:c r="P325" s="116"/>
      <x:c r="Q325" s="213" t="n">
        <x:f>IF(C325="Wochenende",1,0)</x:f>
        <x:v>0</x:v>
      </x:c>
      <x:c r="R325" s="213" t="n">
        <x:f>IF(AND(B325&lt;&gt;"Betriebsferien",OR(WEEKDAY(A325,2)=2,WEEKDAY(A325,2)=4)),1,0)</x:f>
        <x:v>1</x:v>
      </x:c>
      <x:c r="S325" s="214" t="n">
        <x:f>R325*MIN(1,'00_Eingabe'!$B$62/'00_Eingabe'!$B$61)</x:f>
        <x:v>0.5</x:v>
      </x:c>
      <x:c r="T325" s="213" t="n">
        <x:f>IF(B325="Betriebsferien",0,IF(B325="Nebensaison",IF(OR(WEEKDAY(A325,2)=1,WEEKDAY(A325,2)=3,WEEKDAY(A325,2)=5),1,0),IF(C325="Unterwoche",1,0)))</x:f>
        <x:v>0</x:v>
      </x:c>
      <x:c r="U325" s="213" t="n">
        <x:f>IF(B325="Betriebsferien",0,'00_Eingabe'!$G$24)</x:f>
        <x:v>8</x:v>
      </x:c>
    </x:row>
    <x:row r="326">
      <x:c r="A326" s="121" t="n">
        <x:f>IF(ROW()-4&lt;DATE('00_Eingabe'!$B$7+1,1,1)-DATE('00_Eingabe'!$B$7,1,1),DATE('00_Eingabe'!$B$7,1,1)+ROW()-4,"")</x:f>
        <x:v>45980</x:v>
      </x:c>
      <x:c r="B326" s="122" t="str">
        <x:f>IF(A326="","",IF(OR(AND(MONTH(A326)=12,DAY(A326)&gt;=20),AND(MONTH(A326)=1,DAY(A326)&lt;=2)),"Weihnachten",IF(OR(AND(MONTH(A326)=11,DAY(A326)&gt;=24),AND(MONTH(A326)=12,DAY(A326)&lt;=7)),"Betriebsferien",IF(OR(AND(MONTH(A326)=1,DAY(A326)&gt;=3),MONTH(A326)=2,MONTH(A326)=3,MONTH(A326)=4,MONTH(A326)=10,MONTH(A326)=11,AND(MONTH(A326)=12,DAY(A326)&lt;=15)),"Nebensaison","Hauptsaison"))))</x:f>
        <x:v>Nebensaison</x:v>
      </x:c>
      <x:c r="C326" s="122" t="str">
        <x:f>IF(A326="","",IF(WEEKDAY(A326,2)&gt;=6,"Wochenende","Unterwoche"))</x:f>
        <x:v>Unterwoche</x:v>
      </x:c>
      <x:c r="D326" s="123" t="n">
        <x:f>IF(A326="","",IF(N326&lt;&gt;"",N326,IF(B326="Nebensaison",IF(C326="Wochenende",'00_Eingabe'!$C$24,'00_Eingabe'!$B$24),IF(B326="Hauptsaison",IF(C326="Wochenende",'00_Eingabe'!$C$25,'00_Eingabe'!$B$25),IF(B326="Weihnachten",IF(C326="Wochenende",'00_Eingabe'!$C$26,'00_Eingabe'!$B$26),IF(C326="Wochenende",'00_Eingabe'!$C$27,'00_Eingabe'!$B$27))))))</x:f>
        <x:v>0.7</x:v>
      </x:c>
      <x:c r="E326" s="122" t="n">
        <x:f>IF(OR(A326="",D326=""),"",ROUND('00_Eingabe'!$B$8*D326,0))</x:f>
        <x:v>25</x:v>
      </x:c>
      <x:c r="F326" s="122" t="n">
        <x:f>IF(E326="","",ROUND(E326*'00_Eingabe'!$B$18,0))</x:f>
        <x:v>48</x:v>
      </x:c>
      <x:c r="G326" s="123" t="n">
        <x:f>IF(A326="","",IF(O326&lt;&gt;"",O326,IF(B326="Nebensaison",IF(C326="Wochenende",'00_Eingabe'!$E$24,'00_Eingabe'!$D$24),IF(B326="Hauptsaison",IF(C326="Wochenende",'00_Eingabe'!$E$25,'00_Eingabe'!$D$25),IF(B326="Weihnachten",IF(C326="Wochenende",'00_Eingabe'!$E$26,'00_Eingabe'!$D$26),IF(C326="Wochenende",'00_Eingabe'!$E$27,'00_Eingabe'!$D$27))))))</x:f>
        <x:v>0.7</x:v>
      </x:c>
      <x:c r="H326" s="122" t="n">
        <x:f>IF(OR(A326="",G326=""),"",ROUND('00_Eingabe'!$B$9*G326,0))</x:f>
        <x:v>3</x:v>
      </x:c>
      <x:c r="I326" s="122" t="n">
        <x:f>IF(H326="","",ROUND(H326*'00_Eingabe'!$B$19,0))</x:f>
        <x:v>7</x:v>
      </x:c>
      <x:c r="J326" s="122" t="n">
        <x:f>IF(OR(F326="",I326=""),"",F326+I326)</x:f>
        <x:v>55</x:v>
      </x:c>
      <x:c r="K326" s="122" t="n">
        <x:f>IF(J326="","",ROUND(J326*'00_Eingabe'!$B$16*(1+'00_Eingabe'!$B$14),0))</x:f>
        <x:v>63</x:v>
      </x:c>
      <x:c r="L326" s="122" t="n">
        <x:f>IF(B326="Betriebsferien",0,ROUND(J326*'00_Eingabe'!$B$40,0)+IF(C326="Wochenende",'00_Eingabe'!$B$42,'00_Eingabe'!$B$41))</x:f>
        <x:v>55</x:v>
      </x:c>
      <x:c r="M326" s="123" t="n">
        <x:f>IF(J326="","",ROUND(J326*'00_Eingabe'!$B$17*(1+'00_Eingabe'!$B$15),0))</x:f>
        <x:v>63</x:v>
      </x:c>
      <x:c r="N326" s="106"/>
      <x:c r="O326" s="106"/>
      <x:c r="P326" s="116"/>
      <x:c r="Q326" s="213" t="n">
        <x:f>IF(C326="Wochenende",1,0)</x:f>
        <x:v>0</x:v>
      </x:c>
      <x:c r="R326" s="213" t="n">
        <x:f>IF(AND(B326&lt;&gt;"Betriebsferien",OR(WEEKDAY(A326,2)=2,WEEKDAY(A326,2)=4)),1,0)</x:f>
        <x:v>0</x:v>
      </x:c>
      <x:c r="S326" s="214" t="n">
        <x:f>R326*MIN(1,'00_Eingabe'!$B$62/'00_Eingabe'!$B$61)</x:f>
        <x:v>0</x:v>
      </x:c>
      <x:c r="T326" s="213" t="n">
        <x:f>IF(B326="Betriebsferien",0,IF(B326="Nebensaison",IF(OR(WEEKDAY(A326,2)=1,WEEKDAY(A326,2)=3,WEEKDAY(A326,2)=5),1,0),IF(C326="Unterwoche",1,0)))</x:f>
        <x:v>1</x:v>
      </x:c>
      <x:c r="U326" s="213" t="n">
        <x:f>IF(B326="Betriebsferien",0,'00_Eingabe'!$G$24)</x:f>
        <x:v>8</x:v>
      </x:c>
    </x:row>
    <x:row r="327">
      <x:c r="A327" s="121" t="n">
        <x:f>IF(ROW()-4&lt;DATE('00_Eingabe'!$B$7+1,1,1)-DATE('00_Eingabe'!$B$7,1,1),DATE('00_Eingabe'!$B$7,1,1)+ROW()-4,"")</x:f>
        <x:v>45981</x:v>
      </x:c>
      <x:c r="B327" s="122" t="str">
        <x:f>IF(A327="","",IF(OR(AND(MONTH(A327)=12,DAY(A327)&gt;=20),AND(MONTH(A327)=1,DAY(A327)&lt;=2)),"Weihnachten",IF(OR(AND(MONTH(A327)=11,DAY(A327)&gt;=24),AND(MONTH(A327)=12,DAY(A327)&lt;=7)),"Betriebsferien",IF(OR(AND(MONTH(A327)=1,DAY(A327)&gt;=3),MONTH(A327)=2,MONTH(A327)=3,MONTH(A327)=4,MONTH(A327)=10,MONTH(A327)=11,AND(MONTH(A327)=12,DAY(A327)&lt;=15)),"Nebensaison","Hauptsaison"))))</x:f>
        <x:v>Nebensaison</x:v>
      </x:c>
      <x:c r="C327" s="122" t="str">
        <x:f>IF(A327="","",IF(WEEKDAY(A327,2)&gt;=6,"Wochenende","Unterwoche"))</x:f>
        <x:v>Unterwoche</x:v>
      </x:c>
      <x:c r="D327" s="123" t="n">
        <x:f>IF(A327="","",IF(N327&lt;&gt;"",N327,IF(B327="Nebensaison",IF(C327="Wochenende",'00_Eingabe'!$C$24,'00_Eingabe'!$B$24),IF(B327="Hauptsaison",IF(C327="Wochenende",'00_Eingabe'!$C$25,'00_Eingabe'!$B$25),IF(B327="Weihnachten",IF(C327="Wochenende",'00_Eingabe'!$C$26,'00_Eingabe'!$B$26),IF(C327="Wochenende",'00_Eingabe'!$C$27,'00_Eingabe'!$B$27))))))</x:f>
        <x:v>0.7</x:v>
      </x:c>
      <x:c r="E327" s="122" t="n">
        <x:f>IF(OR(A327="",D327=""),"",ROUND('00_Eingabe'!$B$8*D327,0))</x:f>
        <x:v>25</x:v>
      </x:c>
      <x:c r="F327" s="122" t="n">
        <x:f>IF(E327="","",ROUND(E327*'00_Eingabe'!$B$18,0))</x:f>
        <x:v>48</x:v>
      </x:c>
      <x:c r="G327" s="123" t="n">
        <x:f>IF(A327="","",IF(O327&lt;&gt;"",O327,IF(B327="Nebensaison",IF(C327="Wochenende",'00_Eingabe'!$E$24,'00_Eingabe'!$D$24),IF(B327="Hauptsaison",IF(C327="Wochenende",'00_Eingabe'!$E$25,'00_Eingabe'!$D$25),IF(B327="Weihnachten",IF(C327="Wochenende",'00_Eingabe'!$E$26,'00_Eingabe'!$D$26),IF(C327="Wochenende",'00_Eingabe'!$E$27,'00_Eingabe'!$D$27))))))</x:f>
        <x:v>0.7</x:v>
      </x:c>
      <x:c r="H327" s="122" t="n">
        <x:f>IF(OR(A327="",G327=""),"",ROUND('00_Eingabe'!$B$9*G327,0))</x:f>
        <x:v>3</x:v>
      </x:c>
      <x:c r="I327" s="122" t="n">
        <x:f>IF(H327="","",ROUND(H327*'00_Eingabe'!$B$19,0))</x:f>
        <x:v>7</x:v>
      </x:c>
      <x:c r="J327" s="122" t="n">
        <x:f>IF(OR(F327="",I327=""),"",F327+I327)</x:f>
        <x:v>55</x:v>
      </x:c>
      <x:c r="K327" s="122" t="n">
        <x:f>IF(J327="","",ROUND(J327*'00_Eingabe'!$B$16*(1+'00_Eingabe'!$B$14),0))</x:f>
        <x:v>63</x:v>
      </x:c>
      <x:c r="L327" s="122" t="n">
        <x:f>IF(B327="Betriebsferien",0,ROUND(J327*'00_Eingabe'!$B$40,0)+IF(C327="Wochenende",'00_Eingabe'!$B$42,'00_Eingabe'!$B$41))</x:f>
        <x:v>55</x:v>
      </x:c>
      <x:c r="M327" s="123" t="n">
        <x:f>IF(J327="","",ROUND(J327*'00_Eingabe'!$B$17*(1+'00_Eingabe'!$B$15),0))</x:f>
        <x:v>63</x:v>
      </x:c>
      <x:c r="N327" s="106"/>
      <x:c r="O327" s="106"/>
      <x:c r="P327" s="116"/>
      <x:c r="Q327" s="213" t="n">
        <x:f>IF(C327="Wochenende",1,0)</x:f>
        <x:v>0</x:v>
      </x:c>
      <x:c r="R327" s="213" t="n">
        <x:f>IF(AND(B327&lt;&gt;"Betriebsferien",OR(WEEKDAY(A327,2)=2,WEEKDAY(A327,2)=4)),1,0)</x:f>
        <x:v>1</x:v>
      </x:c>
      <x:c r="S327" s="214" t="n">
        <x:f>R327*MIN(1,'00_Eingabe'!$B$62/'00_Eingabe'!$B$61)</x:f>
        <x:v>0.5</x:v>
      </x:c>
      <x:c r="T327" s="213" t="n">
        <x:f>IF(B327="Betriebsferien",0,IF(B327="Nebensaison",IF(OR(WEEKDAY(A327,2)=1,WEEKDAY(A327,2)=3,WEEKDAY(A327,2)=5),1,0),IF(C327="Unterwoche",1,0)))</x:f>
        <x:v>0</x:v>
      </x:c>
      <x:c r="U327" s="213" t="n">
        <x:f>IF(B327="Betriebsferien",0,'00_Eingabe'!$G$24)</x:f>
        <x:v>8</x:v>
      </x:c>
    </x:row>
    <x:row r="328">
      <x:c r="A328" s="121" t="n">
        <x:f>IF(ROW()-4&lt;DATE('00_Eingabe'!$B$7+1,1,1)-DATE('00_Eingabe'!$B$7,1,1),DATE('00_Eingabe'!$B$7,1,1)+ROW()-4,"")</x:f>
        <x:v>45982</x:v>
      </x:c>
      <x:c r="B328" s="122" t="str">
        <x:f>IF(A328="","",IF(OR(AND(MONTH(A328)=12,DAY(A328)&gt;=20),AND(MONTH(A328)=1,DAY(A328)&lt;=2)),"Weihnachten",IF(OR(AND(MONTH(A328)=11,DAY(A328)&gt;=24),AND(MONTH(A328)=12,DAY(A328)&lt;=7)),"Betriebsferien",IF(OR(AND(MONTH(A328)=1,DAY(A328)&gt;=3),MONTH(A328)=2,MONTH(A328)=3,MONTH(A328)=4,MONTH(A328)=10,MONTH(A328)=11,AND(MONTH(A328)=12,DAY(A328)&lt;=15)),"Nebensaison","Hauptsaison"))))</x:f>
        <x:v>Nebensaison</x:v>
      </x:c>
      <x:c r="C328" s="122" t="str">
        <x:f>IF(A328="","",IF(WEEKDAY(A328,2)&gt;=6,"Wochenende","Unterwoche"))</x:f>
        <x:v>Unterwoche</x:v>
      </x:c>
      <x:c r="D328" s="123" t="n">
        <x:f>IF(A328="","",IF(N328&lt;&gt;"",N328,IF(B328="Nebensaison",IF(C328="Wochenende",'00_Eingabe'!$C$24,'00_Eingabe'!$B$24),IF(B328="Hauptsaison",IF(C328="Wochenende",'00_Eingabe'!$C$25,'00_Eingabe'!$B$25),IF(B328="Weihnachten",IF(C328="Wochenende",'00_Eingabe'!$C$26,'00_Eingabe'!$B$26),IF(C328="Wochenende",'00_Eingabe'!$C$27,'00_Eingabe'!$B$27))))))</x:f>
        <x:v>0.7</x:v>
      </x:c>
      <x:c r="E328" s="122" t="n">
        <x:f>IF(OR(A328="",D328=""),"",ROUND('00_Eingabe'!$B$8*D328,0))</x:f>
        <x:v>25</x:v>
      </x:c>
      <x:c r="F328" s="122" t="n">
        <x:f>IF(E328="","",ROUND(E328*'00_Eingabe'!$B$18,0))</x:f>
        <x:v>48</x:v>
      </x:c>
      <x:c r="G328" s="123" t="n">
        <x:f>IF(A328="","",IF(O328&lt;&gt;"",O328,IF(B328="Nebensaison",IF(C328="Wochenende",'00_Eingabe'!$E$24,'00_Eingabe'!$D$24),IF(B328="Hauptsaison",IF(C328="Wochenende",'00_Eingabe'!$E$25,'00_Eingabe'!$D$25),IF(B328="Weihnachten",IF(C328="Wochenende",'00_Eingabe'!$E$26,'00_Eingabe'!$D$26),IF(C328="Wochenende",'00_Eingabe'!$E$27,'00_Eingabe'!$D$27))))))</x:f>
        <x:v>0.7</x:v>
      </x:c>
      <x:c r="H328" s="122" t="n">
        <x:f>IF(OR(A328="",G328=""),"",ROUND('00_Eingabe'!$B$9*G328,0))</x:f>
        <x:v>3</x:v>
      </x:c>
      <x:c r="I328" s="122" t="n">
        <x:f>IF(H328="","",ROUND(H328*'00_Eingabe'!$B$19,0))</x:f>
        <x:v>7</x:v>
      </x:c>
      <x:c r="J328" s="122" t="n">
        <x:f>IF(OR(F328="",I328=""),"",F328+I328)</x:f>
        <x:v>55</x:v>
      </x:c>
      <x:c r="K328" s="122" t="n">
        <x:f>IF(J328="","",ROUND(J328*'00_Eingabe'!$B$16*(1+'00_Eingabe'!$B$14),0))</x:f>
        <x:v>63</x:v>
      </x:c>
      <x:c r="L328" s="122" t="n">
        <x:f>IF(B328="Betriebsferien",0,ROUND(J328*'00_Eingabe'!$B$40,0)+IF(C328="Wochenende",'00_Eingabe'!$B$42,'00_Eingabe'!$B$41))</x:f>
        <x:v>55</x:v>
      </x:c>
      <x:c r="M328" s="123" t="n">
        <x:f>IF(J328="","",ROUND(J328*'00_Eingabe'!$B$17*(1+'00_Eingabe'!$B$15),0))</x:f>
        <x:v>63</x:v>
      </x:c>
      <x:c r="N328" s="106"/>
      <x:c r="O328" s="106"/>
      <x:c r="P328" s="116"/>
      <x:c r="Q328" s="213" t="n">
        <x:f>IF(C328="Wochenende",1,0)</x:f>
        <x:v>0</x:v>
      </x:c>
      <x:c r="R328" s="213" t="n">
        <x:f>IF(AND(B328&lt;&gt;"Betriebsferien",OR(WEEKDAY(A328,2)=2,WEEKDAY(A328,2)=4)),1,0)</x:f>
        <x:v>0</x:v>
      </x:c>
      <x:c r="S328" s="214" t="n">
        <x:f>R328*MIN(1,'00_Eingabe'!$B$62/'00_Eingabe'!$B$61)</x:f>
        <x:v>0</x:v>
      </x:c>
      <x:c r="T328" s="213" t="n">
        <x:f>IF(B328="Betriebsferien",0,IF(B328="Nebensaison",IF(OR(WEEKDAY(A328,2)=1,WEEKDAY(A328,2)=3,WEEKDAY(A328,2)=5),1,0),IF(C328="Unterwoche",1,0)))</x:f>
        <x:v>1</x:v>
      </x:c>
      <x:c r="U328" s="213" t="n">
        <x:f>IF(B328="Betriebsferien",0,'00_Eingabe'!$G$24)</x:f>
        <x:v>8</x:v>
      </x:c>
    </x:row>
    <x:row r="329">
      <x:c r="A329" s="121" t="n">
        <x:f>IF(ROW()-4&lt;DATE('00_Eingabe'!$B$7+1,1,1)-DATE('00_Eingabe'!$B$7,1,1),DATE('00_Eingabe'!$B$7,1,1)+ROW()-4,"")</x:f>
        <x:v>45983</x:v>
      </x:c>
      <x:c r="B329" s="122" t="str">
        <x:f>IF(A329="","",IF(OR(AND(MONTH(A329)=12,DAY(A329)&gt;=20),AND(MONTH(A329)=1,DAY(A329)&lt;=2)),"Weihnachten",IF(OR(AND(MONTH(A329)=11,DAY(A329)&gt;=24),AND(MONTH(A329)=12,DAY(A329)&lt;=7)),"Betriebsferien",IF(OR(AND(MONTH(A329)=1,DAY(A329)&gt;=3),MONTH(A329)=2,MONTH(A329)=3,MONTH(A329)=4,MONTH(A329)=10,MONTH(A329)=11,AND(MONTH(A329)=12,DAY(A329)&lt;=15)),"Nebensaison","Hauptsaison"))))</x:f>
        <x:v>Nebensaison</x:v>
      </x:c>
      <x:c r="C329" s="122" t="str">
        <x:f>IF(A329="","",IF(WEEKDAY(A329,2)&gt;=6,"Wochenende","Unterwoche"))</x:f>
        <x:v>Wochenende</x:v>
      </x:c>
      <x:c r="D329" s="123" t="n">
        <x:f>IF(A329="","",IF(N329&lt;&gt;"",N329,IF(B329="Nebensaison",IF(C329="Wochenende",'00_Eingabe'!$C$24,'00_Eingabe'!$B$24),IF(B329="Hauptsaison",IF(C329="Wochenende",'00_Eingabe'!$C$25,'00_Eingabe'!$B$25),IF(B329="Weihnachten",IF(C329="Wochenende",'00_Eingabe'!$C$26,'00_Eingabe'!$B$26),IF(C329="Wochenende",'00_Eingabe'!$C$27,'00_Eingabe'!$B$27))))))</x:f>
        <x:v>0.75</x:v>
      </x:c>
      <x:c r="E329" s="122" t="n">
        <x:f>IF(OR(A329="",D329=""),"",ROUND('00_Eingabe'!$B$8*D329,0))</x:f>
        <x:v>26</x:v>
      </x:c>
      <x:c r="F329" s="122" t="n">
        <x:f>IF(E329="","",ROUND(E329*'00_Eingabe'!$B$18,0))</x:f>
        <x:v>49</x:v>
      </x:c>
      <x:c r="G329" s="123" t="n">
        <x:f>IF(A329="","",IF(O329&lt;&gt;"",O329,IF(B329="Nebensaison",IF(C329="Wochenende",'00_Eingabe'!$E$24,'00_Eingabe'!$D$24),IF(B329="Hauptsaison",IF(C329="Wochenende",'00_Eingabe'!$E$25,'00_Eingabe'!$D$25),IF(B329="Weihnachten",IF(C329="Wochenende",'00_Eingabe'!$E$26,'00_Eingabe'!$D$26),IF(C329="Wochenende",'00_Eingabe'!$E$27,'00_Eingabe'!$D$27))))))</x:f>
        <x:v>0.75</x:v>
      </x:c>
      <x:c r="H329" s="122" t="n">
        <x:f>IF(OR(A329="",G329=""),"",ROUND('00_Eingabe'!$B$9*G329,0))</x:f>
        <x:v>3</x:v>
      </x:c>
      <x:c r="I329" s="122" t="n">
        <x:f>IF(H329="","",ROUND(H329*'00_Eingabe'!$B$19,0))</x:f>
        <x:v>7</x:v>
      </x:c>
      <x:c r="J329" s="122" t="n">
        <x:f>IF(OR(F329="",I329=""),"",F329+I329)</x:f>
        <x:v>56</x:v>
      </x:c>
      <x:c r="K329" s="122" t="n">
        <x:f>IF(J329="","",ROUND(J329*'00_Eingabe'!$B$16*(1+'00_Eingabe'!$B$14),0))</x:f>
        <x:v>64</x:v>
      </x:c>
      <x:c r="L329" s="122" t="n">
        <x:f>IF(B329="Betriebsferien",0,ROUND(J329*'00_Eingabe'!$B$40,0)+IF(C329="Wochenende",'00_Eingabe'!$B$42,'00_Eingabe'!$B$41))</x:f>
        <x:v>80</x:v>
      </x:c>
      <x:c r="M329" s="123" t="n">
        <x:f>IF(J329="","",ROUND(J329*'00_Eingabe'!$B$17*(1+'00_Eingabe'!$B$15),0))</x:f>
        <x:v>64</x:v>
      </x:c>
      <x:c r="N329" s="106"/>
      <x:c r="O329" s="106"/>
      <x:c r="P329" s="116"/>
      <x:c r="Q329" s="213" t="n">
        <x:f>IF(C329="Wochenende",1,0)</x:f>
        <x:v>1</x:v>
      </x:c>
      <x:c r="R329" s="213" t="n">
        <x:f>IF(AND(B329&lt;&gt;"Betriebsferien",OR(WEEKDAY(A329,2)=2,WEEKDAY(A329,2)=4)),1,0)</x:f>
        <x:v>0</x:v>
      </x:c>
      <x:c r="S329" s="214" t="n">
        <x:f>R329*MIN(1,'00_Eingabe'!$B$62/'00_Eingabe'!$B$61)</x:f>
        <x:v>0</x:v>
      </x:c>
      <x:c r="T329" s="213" t="n">
        <x:f>IF(B329="Betriebsferien",0,IF(B329="Nebensaison",IF(OR(WEEKDAY(A329,2)=1,WEEKDAY(A329,2)=3,WEEKDAY(A329,2)=5),1,0),IF(C329="Unterwoche",1,0)))</x:f>
        <x:v>0</x:v>
      </x:c>
      <x:c r="U329" s="213" t="n">
        <x:f>IF(B329="Betriebsferien",0,'00_Eingabe'!$G$24)</x:f>
        <x:v>8</x:v>
      </x:c>
    </x:row>
    <x:row r="330">
      <x:c r="A330" s="121" t="n">
        <x:f>IF(ROW()-4&lt;DATE('00_Eingabe'!$B$7+1,1,1)-DATE('00_Eingabe'!$B$7,1,1),DATE('00_Eingabe'!$B$7,1,1)+ROW()-4,"")</x:f>
        <x:v>45984</x:v>
      </x:c>
      <x:c r="B330" s="122" t="str">
        <x:f>IF(A330="","",IF(OR(AND(MONTH(A330)=12,DAY(A330)&gt;=20),AND(MONTH(A330)=1,DAY(A330)&lt;=2)),"Weihnachten",IF(OR(AND(MONTH(A330)=11,DAY(A330)&gt;=24),AND(MONTH(A330)=12,DAY(A330)&lt;=7)),"Betriebsferien",IF(OR(AND(MONTH(A330)=1,DAY(A330)&gt;=3),MONTH(A330)=2,MONTH(A330)=3,MONTH(A330)=4,MONTH(A330)=10,MONTH(A330)=11,AND(MONTH(A330)=12,DAY(A330)&lt;=15)),"Nebensaison","Hauptsaison"))))</x:f>
        <x:v>Nebensaison</x:v>
      </x:c>
      <x:c r="C330" s="122" t="str">
        <x:f>IF(A330="","",IF(WEEKDAY(A330,2)&gt;=6,"Wochenende","Unterwoche"))</x:f>
        <x:v>Wochenende</x:v>
      </x:c>
      <x:c r="D330" s="123" t="n">
        <x:f>IF(A330="","",IF(N330&lt;&gt;"",N330,IF(B330="Nebensaison",IF(C330="Wochenende",'00_Eingabe'!$C$24,'00_Eingabe'!$B$24),IF(B330="Hauptsaison",IF(C330="Wochenende",'00_Eingabe'!$C$25,'00_Eingabe'!$B$25),IF(B330="Weihnachten",IF(C330="Wochenende",'00_Eingabe'!$C$26,'00_Eingabe'!$B$26),IF(C330="Wochenende",'00_Eingabe'!$C$27,'00_Eingabe'!$B$27))))))</x:f>
        <x:v>0.75</x:v>
      </x:c>
      <x:c r="E330" s="122" t="n">
        <x:f>IF(OR(A330="",D330=""),"",ROUND('00_Eingabe'!$B$8*D330,0))</x:f>
        <x:v>26</x:v>
      </x:c>
      <x:c r="F330" s="122" t="n">
        <x:f>IF(E330="","",ROUND(E330*'00_Eingabe'!$B$18,0))</x:f>
        <x:v>49</x:v>
      </x:c>
      <x:c r="G330" s="123" t="n">
        <x:f>IF(A330="","",IF(O330&lt;&gt;"",O330,IF(B330="Nebensaison",IF(C330="Wochenende",'00_Eingabe'!$E$24,'00_Eingabe'!$D$24),IF(B330="Hauptsaison",IF(C330="Wochenende",'00_Eingabe'!$E$25,'00_Eingabe'!$D$25),IF(B330="Weihnachten",IF(C330="Wochenende",'00_Eingabe'!$E$26,'00_Eingabe'!$D$26),IF(C330="Wochenende",'00_Eingabe'!$E$27,'00_Eingabe'!$D$27))))))</x:f>
        <x:v>0.75</x:v>
      </x:c>
      <x:c r="H330" s="122" t="n">
        <x:f>IF(OR(A330="",G330=""),"",ROUND('00_Eingabe'!$B$9*G330,0))</x:f>
        <x:v>3</x:v>
      </x:c>
      <x:c r="I330" s="122" t="n">
        <x:f>IF(H330="","",ROUND(H330*'00_Eingabe'!$B$19,0))</x:f>
        <x:v>7</x:v>
      </x:c>
      <x:c r="J330" s="122" t="n">
        <x:f>IF(OR(F330="",I330=""),"",F330+I330)</x:f>
        <x:v>56</x:v>
      </x:c>
      <x:c r="K330" s="122" t="n">
        <x:f>IF(J330="","",ROUND(J330*'00_Eingabe'!$B$16*(1+'00_Eingabe'!$B$14),0))</x:f>
        <x:v>64</x:v>
      </x:c>
      <x:c r="L330" s="122" t="n">
        <x:f>IF(B330="Betriebsferien",0,ROUND(J330*'00_Eingabe'!$B$40,0)+IF(C330="Wochenende",'00_Eingabe'!$B$42,'00_Eingabe'!$B$41))</x:f>
        <x:v>80</x:v>
      </x:c>
      <x:c r="M330" s="123" t="n">
        <x:f>IF(J330="","",ROUND(J330*'00_Eingabe'!$B$17*(1+'00_Eingabe'!$B$15),0))</x:f>
        <x:v>64</x:v>
      </x:c>
      <x:c r="N330" s="106"/>
      <x:c r="O330" s="106"/>
      <x:c r="P330" s="116"/>
      <x:c r="Q330" s="213" t="n">
        <x:f>IF(C330="Wochenende",1,0)</x:f>
        <x:v>1</x:v>
      </x:c>
      <x:c r="R330" s="213" t="n">
        <x:f>IF(AND(B330&lt;&gt;"Betriebsferien",OR(WEEKDAY(A330,2)=2,WEEKDAY(A330,2)=4)),1,0)</x:f>
        <x:v>0</x:v>
      </x:c>
      <x:c r="S330" s="214" t="n">
        <x:f>R330*MIN(1,'00_Eingabe'!$B$62/'00_Eingabe'!$B$61)</x:f>
        <x:v>0</x:v>
      </x:c>
      <x:c r="T330" s="213" t="n">
        <x:f>IF(B330="Betriebsferien",0,IF(B330="Nebensaison",IF(OR(WEEKDAY(A330,2)=1,WEEKDAY(A330,2)=3,WEEKDAY(A330,2)=5),1,0),IF(C330="Unterwoche",1,0)))</x:f>
        <x:v>0</x:v>
      </x:c>
      <x:c r="U330" s="213" t="n">
        <x:f>IF(B330="Betriebsferien",0,'00_Eingabe'!$G$24)</x:f>
        <x:v>8</x:v>
      </x:c>
    </x:row>
    <x:row r="331">
      <x:c r="A331" s="121" t="n">
        <x:f>IF(ROW()-4&lt;DATE('00_Eingabe'!$B$7+1,1,1)-DATE('00_Eingabe'!$B$7,1,1),DATE('00_Eingabe'!$B$7,1,1)+ROW()-4,"")</x:f>
        <x:v>45985</x:v>
      </x:c>
      <x:c r="B331" s="122" t="str">
        <x:f>IF(A331="","",IF(OR(AND(MONTH(A331)=12,DAY(A331)&gt;=20),AND(MONTH(A331)=1,DAY(A331)&lt;=2)),"Weihnachten",IF(OR(AND(MONTH(A331)=11,DAY(A331)&gt;=24),AND(MONTH(A331)=12,DAY(A331)&lt;=7)),"Betriebsferien",IF(OR(AND(MONTH(A331)=1,DAY(A331)&gt;=3),MONTH(A331)=2,MONTH(A331)=3,MONTH(A331)=4,MONTH(A331)=10,MONTH(A331)=11,AND(MONTH(A331)=12,DAY(A331)&lt;=15)),"Nebensaison","Hauptsaison"))))</x:f>
        <x:v>Betriebsferien</x:v>
      </x:c>
      <x:c r="C331" s="122" t="str">
        <x:f>IF(A331="","",IF(WEEKDAY(A331,2)&gt;=6,"Wochenende","Unterwoche"))</x:f>
        <x:v>Unterwoche</x:v>
      </x:c>
      <x:c r="D331" s="123" t="n">
        <x:f>IF(A331="","",IF(N331&lt;&gt;"",N331,IF(B331="Nebensaison",IF(C331="Wochenende",'00_Eingabe'!$C$24,'00_Eingabe'!$B$24),IF(B331="Hauptsaison",IF(C331="Wochenende",'00_Eingabe'!$C$25,'00_Eingabe'!$B$25),IF(B331="Weihnachten",IF(C331="Wochenende",'00_Eingabe'!$C$26,'00_Eingabe'!$B$26),IF(C331="Wochenende",'00_Eingabe'!$C$27,'00_Eingabe'!$B$27))))))</x:f>
        <x:v>0</x:v>
      </x:c>
      <x:c r="E331" s="122" t="str">
        <x:f>IF(OR(A331="",D331=""),"",ROUND('00_Eingabe'!$B$8*D331,0))</x:f>
      </x:c>
      <x:c r="F331" s="122" t="str">
        <x:f>IF(E331="","",ROUND(E331*'00_Eingabe'!$B$18,0))</x:f>
      </x:c>
      <x:c r="G331" s="123" t="n">
        <x:f>IF(A331="","",IF(O331&lt;&gt;"",O331,IF(B331="Nebensaison",IF(C331="Wochenende",'00_Eingabe'!$E$24,'00_Eingabe'!$D$24),IF(B331="Hauptsaison",IF(C331="Wochenende",'00_Eingabe'!$E$25,'00_Eingabe'!$D$25),IF(B331="Weihnachten",IF(C331="Wochenende",'00_Eingabe'!$E$26,'00_Eingabe'!$D$26),IF(C331="Wochenende",'00_Eingabe'!$E$27,'00_Eingabe'!$D$27))))))</x:f>
        <x:v>0</x:v>
      </x:c>
      <x:c r="H331" s="122" t="str">
        <x:f>IF(OR(A331="",G331=""),"",ROUND('00_Eingabe'!$B$9*G331,0))</x:f>
      </x:c>
      <x:c r="I331" s="122" t="str">
        <x:f>IF(H331="","",ROUND(H331*'00_Eingabe'!$B$19,0))</x:f>
      </x:c>
      <x:c r="J331" s="122" t="str">
        <x:f>IF(OR(F331="",I331=""),"",F331+I331)</x:f>
      </x:c>
      <x:c r="K331" s="122" t="str">
        <x:f>IF(J331="","",ROUND(J331*'00_Eingabe'!$B$16*(1+'00_Eingabe'!$B$14),0))</x:f>
      </x:c>
      <x:c r="L331" s="122" t="n">
        <x:f>IF(B331="Betriebsferien",0,ROUND(J331*'00_Eingabe'!$B$40,0)+IF(C331="Wochenende",'00_Eingabe'!$B$42,'00_Eingabe'!$B$41))</x:f>
        <x:v>0</x:v>
      </x:c>
      <x:c r="M331" s="123" t="str">
        <x:f>IF(J331="","",ROUND(J331*'00_Eingabe'!$B$17*(1+'00_Eingabe'!$B$15),0))</x:f>
      </x:c>
      <x:c r="N331" s="106"/>
      <x:c r="O331" s="106"/>
      <x:c r="P331" s="116"/>
      <x:c r="Q331" s="213" t="n">
        <x:f>IF(C331="Wochenende",1,0)</x:f>
        <x:v>0</x:v>
      </x:c>
      <x:c r="R331" s="213" t="n">
        <x:f>IF(AND(B331&lt;&gt;"Betriebsferien",OR(WEEKDAY(A331,2)=2,WEEKDAY(A331,2)=4)),1,0)</x:f>
        <x:v>0</x:v>
      </x:c>
      <x:c r="S331" s="214" t="n">
        <x:f>R331*MIN(1,'00_Eingabe'!$B$62/'00_Eingabe'!$B$61)</x:f>
        <x:v>0</x:v>
      </x:c>
      <x:c r="T331" s="213" t="n">
        <x:f>IF(B331="Betriebsferien",0,IF(B331="Nebensaison",IF(OR(WEEKDAY(A331,2)=1,WEEKDAY(A331,2)=3,WEEKDAY(A331,2)=5),1,0),IF(C331="Unterwoche",1,0)))</x:f>
        <x:v>0</x:v>
      </x:c>
      <x:c r="U331" s="213" t="n">
        <x:f>IF(B331="Betriebsferien",0,'00_Eingabe'!$G$24)</x:f>
        <x:v>0</x:v>
      </x:c>
    </x:row>
    <x:row r="332">
      <x:c r="A332" s="121" t="n">
        <x:f>IF(ROW()-4&lt;DATE('00_Eingabe'!$B$7+1,1,1)-DATE('00_Eingabe'!$B$7,1,1),DATE('00_Eingabe'!$B$7,1,1)+ROW()-4,"")</x:f>
        <x:v>45986</x:v>
      </x:c>
      <x:c r="B332" s="122" t="str">
        <x:f>IF(A332="","",IF(OR(AND(MONTH(A332)=12,DAY(A332)&gt;=20),AND(MONTH(A332)=1,DAY(A332)&lt;=2)),"Weihnachten",IF(OR(AND(MONTH(A332)=11,DAY(A332)&gt;=24),AND(MONTH(A332)=12,DAY(A332)&lt;=7)),"Betriebsferien",IF(OR(AND(MONTH(A332)=1,DAY(A332)&gt;=3),MONTH(A332)=2,MONTH(A332)=3,MONTH(A332)=4,MONTH(A332)=10,MONTH(A332)=11,AND(MONTH(A332)=12,DAY(A332)&lt;=15)),"Nebensaison","Hauptsaison"))))</x:f>
        <x:v>Betriebsferien</x:v>
      </x:c>
      <x:c r="C332" s="122" t="str">
        <x:f>IF(A332="","",IF(WEEKDAY(A332,2)&gt;=6,"Wochenende","Unterwoche"))</x:f>
        <x:v>Unterwoche</x:v>
      </x:c>
      <x:c r="D332" s="123" t="n">
        <x:f>IF(A332="","",IF(N332&lt;&gt;"",N332,IF(B332="Nebensaison",IF(C332="Wochenende",'00_Eingabe'!$C$24,'00_Eingabe'!$B$24),IF(B332="Hauptsaison",IF(C332="Wochenende",'00_Eingabe'!$C$25,'00_Eingabe'!$B$25),IF(B332="Weihnachten",IF(C332="Wochenende",'00_Eingabe'!$C$26,'00_Eingabe'!$B$26),IF(C332="Wochenende",'00_Eingabe'!$C$27,'00_Eingabe'!$B$27))))))</x:f>
        <x:v>0</x:v>
      </x:c>
      <x:c r="E332" s="122" t="str">
        <x:f>IF(OR(A332="",D332=""),"",ROUND('00_Eingabe'!$B$8*D332,0))</x:f>
      </x:c>
      <x:c r="F332" s="122" t="str">
        <x:f>IF(E332="","",ROUND(E332*'00_Eingabe'!$B$18,0))</x:f>
      </x:c>
      <x:c r="G332" s="123" t="n">
        <x:f>IF(A332="","",IF(O332&lt;&gt;"",O332,IF(B332="Nebensaison",IF(C332="Wochenende",'00_Eingabe'!$E$24,'00_Eingabe'!$D$24),IF(B332="Hauptsaison",IF(C332="Wochenende",'00_Eingabe'!$E$25,'00_Eingabe'!$D$25),IF(B332="Weihnachten",IF(C332="Wochenende",'00_Eingabe'!$E$26,'00_Eingabe'!$D$26),IF(C332="Wochenende",'00_Eingabe'!$E$27,'00_Eingabe'!$D$27))))))</x:f>
        <x:v>0</x:v>
      </x:c>
      <x:c r="H332" s="122" t="str">
        <x:f>IF(OR(A332="",G332=""),"",ROUND('00_Eingabe'!$B$9*G332,0))</x:f>
      </x:c>
      <x:c r="I332" s="122" t="str">
        <x:f>IF(H332="","",ROUND(H332*'00_Eingabe'!$B$19,0))</x:f>
      </x:c>
      <x:c r="J332" s="122" t="str">
        <x:f>IF(OR(F332="",I332=""),"",F332+I332)</x:f>
      </x:c>
      <x:c r="K332" s="122" t="str">
        <x:f>IF(J332="","",ROUND(J332*'00_Eingabe'!$B$16*(1+'00_Eingabe'!$B$14),0))</x:f>
      </x:c>
      <x:c r="L332" s="122" t="n">
        <x:f>IF(B332="Betriebsferien",0,ROUND(J332*'00_Eingabe'!$B$40,0)+IF(C332="Wochenende",'00_Eingabe'!$B$42,'00_Eingabe'!$B$41))</x:f>
        <x:v>0</x:v>
      </x:c>
      <x:c r="M332" s="123" t="str">
        <x:f>IF(J332="","",ROUND(J332*'00_Eingabe'!$B$17*(1+'00_Eingabe'!$B$15),0))</x:f>
      </x:c>
      <x:c r="N332" s="106"/>
      <x:c r="O332" s="106"/>
      <x:c r="P332" s="116"/>
      <x:c r="Q332" s="213" t="n">
        <x:f>IF(C332="Wochenende",1,0)</x:f>
        <x:v>0</x:v>
      </x:c>
      <x:c r="R332" s="213" t="n">
        <x:f>IF(AND(B332&lt;&gt;"Betriebsferien",OR(WEEKDAY(A332,2)=2,WEEKDAY(A332,2)=4)),1,0)</x:f>
        <x:v>0</x:v>
      </x:c>
      <x:c r="S332" s="214" t="n">
        <x:f>R332*MIN(1,'00_Eingabe'!$B$62/'00_Eingabe'!$B$61)</x:f>
        <x:v>0</x:v>
      </x:c>
      <x:c r="T332" s="213" t="n">
        <x:f>IF(B332="Betriebsferien",0,IF(B332="Nebensaison",IF(OR(WEEKDAY(A332,2)=1,WEEKDAY(A332,2)=3,WEEKDAY(A332,2)=5),1,0),IF(C332="Unterwoche",1,0)))</x:f>
        <x:v>0</x:v>
      </x:c>
      <x:c r="U332" s="213" t="n">
        <x:f>IF(B332="Betriebsferien",0,'00_Eingabe'!$G$24)</x:f>
        <x:v>0</x:v>
      </x:c>
    </x:row>
    <x:row r="333">
      <x:c r="A333" s="121" t="n">
        <x:f>IF(ROW()-4&lt;DATE('00_Eingabe'!$B$7+1,1,1)-DATE('00_Eingabe'!$B$7,1,1),DATE('00_Eingabe'!$B$7,1,1)+ROW()-4,"")</x:f>
        <x:v>45987</x:v>
      </x:c>
      <x:c r="B333" s="122" t="str">
        <x:f>IF(A333="","",IF(OR(AND(MONTH(A333)=12,DAY(A333)&gt;=20),AND(MONTH(A333)=1,DAY(A333)&lt;=2)),"Weihnachten",IF(OR(AND(MONTH(A333)=11,DAY(A333)&gt;=24),AND(MONTH(A333)=12,DAY(A333)&lt;=7)),"Betriebsferien",IF(OR(AND(MONTH(A333)=1,DAY(A333)&gt;=3),MONTH(A333)=2,MONTH(A333)=3,MONTH(A333)=4,MONTH(A333)=10,MONTH(A333)=11,AND(MONTH(A333)=12,DAY(A333)&lt;=15)),"Nebensaison","Hauptsaison"))))</x:f>
        <x:v>Betriebsferien</x:v>
      </x:c>
      <x:c r="C333" s="122" t="str">
        <x:f>IF(A333="","",IF(WEEKDAY(A333,2)&gt;=6,"Wochenende","Unterwoche"))</x:f>
        <x:v>Unterwoche</x:v>
      </x:c>
      <x:c r="D333" s="123" t="n">
        <x:f>IF(A333="","",IF(N333&lt;&gt;"",N333,IF(B333="Nebensaison",IF(C333="Wochenende",'00_Eingabe'!$C$24,'00_Eingabe'!$B$24),IF(B333="Hauptsaison",IF(C333="Wochenende",'00_Eingabe'!$C$25,'00_Eingabe'!$B$25),IF(B333="Weihnachten",IF(C333="Wochenende",'00_Eingabe'!$C$26,'00_Eingabe'!$B$26),IF(C333="Wochenende",'00_Eingabe'!$C$27,'00_Eingabe'!$B$27))))))</x:f>
        <x:v>0</x:v>
      </x:c>
      <x:c r="E333" s="122" t="str">
        <x:f>IF(OR(A333="",D333=""),"",ROUND('00_Eingabe'!$B$8*D333,0))</x:f>
      </x:c>
      <x:c r="F333" s="122" t="str">
        <x:f>IF(E333="","",ROUND(E333*'00_Eingabe'!$B$18,0))</x:f>
      </x:c>
      <x:c r="G333" s="123" t="n">
        <x:f>IF(A333="","",IF(O333&lt;&gt;"",O333,IF(B333="Nebensaison",IF(C333="Wochenende",'00_Eingabe'!$E$24,'00_Eingabe'!$D$24),IF(B333="Hauptsaison",IF(C333="Wochenende",'00_Eingabe'!$E$25,'00_Eingabe'!$D$25),IF(B333="Weihnachten",IF(C333="Wochenende",'00_Eingabe'!$E$26,'00_Eingabe'!$D$26),IF(C333="Wochenende",'00_Eingabe'!$E$27,'00_Eingabe'!$D$27))))))</x:f>
        <x:v>0</x:v>
      </x:c>
      <x:c r="H333" s="122" t="str">
        <x:f>IF(OR(A333="",G333=""),"",ROUND('00_Eingabe'!$B$9*G333,0))</x:f>
      </x:c>
      <x:c r="I333" s="122" t="str">
        <x:f>IF(H333="","",ROUND(H333*'00_Eingabe'!$B$19,0))</x:f>
      </x:c>
      <x:c r="J333" s="122" t="str">
        <x:f>IF(OR(F333="",I333=""),"",F333+I333)</x:f>
      </x:c>
      <x:c r="K333" s="122" t="str">
        <x:f>IF(J333="","",ROUND(J333*'00_Eingabe'!$B$16*(1+'00_Eingabe'!$B$14),0))</x:f>
      </x:c>
      <x:c r="L333" s="122" t="n">
        <x:f>IF(B333="Betriebsferien",0,ROUND(J333*'00_Eingabe'!$B$40,0)+IF(C333="Wochenende",'00_Eingabe'!$B$42,'00_Eingabe'!$B$41))</x:f>
        <x:v>0</x:v>
      </x:c>
      <x:c r="M333" s="123" t="str">
        <x:f>IF(J333="","",ROUND(J333*'00_Eingabe'!$B$17*(1+'00_Eingabe'!$B$15),0))</x:f>
      </x:c>
      <x:c r="N333" s="106"/>
      <x:c r="O333" s="106"/>
      <x:c r="P333" s="116"/>
      <x:c r="Q333" s="213" t="n">
        <x:f>IF(C333="Wochenende",1,0)</x:f>
        <x:v>0</x:v>
      </x:c>
      <x:c r="R333" s="213" t="n">
        <x:f>IF(AND(B333&lt;&gt;"Betriebsferien",OR(WEEKDAY(A333,2)=2,WEEKDAY(A333,2)=4)),1,0)</x:f>
        <x:v>0</x:v>
      </x:c>
      <x:c r="S333" s="214" t="n">
        <x:f>R333*MIN(1,'00_Eingabe'!$B$62/'00_Eingabe'!$B$61)</x:f>
        <x:v>0</x:v>
      </x:c>
      <x:c r="T333" s="213" t="n">
        <x:f>IF(B333="Betriebsferien",0,IF(B333="Nebensaison",IF(OR(WEEKDAY(A333,2)=1,WEEKDAY(A333,2)=3,WEEKDAY(A333,2)=5),1,0),IF(C333="Unterwoche",1,0)))</x:f>
        <x:v>0</x:v>
      </x:c>
      <x:c r="U333" s="213" t="n">
        <x:f>IF(B333="Betriebsferien",0,'00_Eingabe'!$G$24)</x:f>
        <x:v>0</x:v>
      </x:c>
    </x:row>
    <x:row r="334">
      <x:c r="A334" s="121" t="n">
        <x:f>IF(ROW()-4&lt;DATE('00_Eingabe'!$B$7+1,1,1)-DATE('00_Eingabe'!$B$7,1,1),DATE('00_Eingabe'!$B$7,1,1)+ROW()-4,"")</x:f>
        <x:v>45988</x:v>
      </x:c>
      <x:c r="B334" s="122" t="str">
        <x:f>IF(A334="","",IF(OR(AND(MONTH(A334)=12,DAY(A334)&gt;=20),AND(MONTH(A334)=1,DAY(A334)&lt;=2)),"Weihnachten",IF(OR(AND(MONTH(A334)=11,DAY(A334)&gt;=24),AND(MONTH(A334)=12,DAY(A334)&lt;=7)),"Betriebsferien",IF(OR(AND(MONTH(A334)=1,DAY(A334)&gt;=3),MONTH(A334)=2,MONTH(A334)=3,MONTH(A334)=4,MONTH(A334)=10,MONTH(A334)=11,AND(MONTH(A334)=12,DAY(A334)&lt;=15)),"Nebensaison","Hauptsaison"))))</x:f>
        <x:v>Betriebsferien</x:v>
      </x:c>
      <x:c r="C334" s="122" t="str">
        <x:f>IF(A334="","",IF(WEEKDAY(A334,2)&gt;=6,"Wochenende","Unterwoche"))</x:f>
        <x:v>Unterwoche</x:v>
      </x:c>
      <x:c r="D334" s="123" t="n">
        <x:f>IF(A334="","",IF(N334&lt;&gt;"",N334,IF(B334="Nebensaison",IF(C334="Wochenende",'00_Eingabe'!$C$24,'00_Eingabe'!$B$24),IF(B334="Hauptsaison",IF(C334="Wochenende",'00_Eingabe'!$C$25,'00_Eingabe'!$B$25),IF(B334="Weihnachten",IF(C334="Wochenende",'00_Eingabe'!$C$26,'00_Eingabe'!$B$26),IF(C334="Wochenende",'00_Eingabe'!$C$27,'00_Eingabe'!$B$27))))))</x:f>
        <x:v>0</x:v>
      </x:c>
      <x:c r="E334" s="122" t="str">
        <x:f>IF(OR(A334="",D334=""),"",ROUND('00_Eingabe'!$B$8*D334,0))</x:f>
      </x:c>
      <x:c r="F334" s="122" t="str">
        <x:f>IF(E334="","",ROUND(E334*'00_Eingabe'!$B$18,0))</x:f>
      </x:c>
      <x:c r="G334" s="123" t="n">
        <x:f>IF(A334="","",IF(O334&lt;&gt;"",O334,IF(B334="Nebensaison",IF(C334="Wochenende",'00_Eingabe'!$E$24,'00_Eingabe'!$D$24),IF(B334="Hauptsaison",IF(C334="Wochenende",'00_Eingabe'!$E$25,'00_Eingabe'!$D$25),IF(B334="Weihnachten",IF(C334="Wochenende",'00_Eingabe'!$E$26,'00_Eingabe'!$D$26),IF(C334="Wochenende",'00_Eingabe'!$E$27,'00_Eingabe'!$D$27))))))</x:f>
        <x:v>0</x:v>
      </x:c>
      <x:c r="H334" s="122" t="str">
        <x:f>IF(OR(A334="",G334=""),"",ROUND('00_Eingabe'!$B$9*G334,0))</x:f>
      </x:c>
      <x:c r="I334" s="122" t="str">
        <x:f>IF(H334="","",ROUND(H334*'00_Eingabe'!$B$19,0))</x:f>
      </x:c>
      <x:c r="J334" s="122" t="str">
        <x:f>IF(OR(F334="",I334=""),"",F334+I334)</x:f>
      </x:c>
      <x:c r="K334" s="122" t="str">
        <x:f>IF(J334="","",ROUND(J334*'00_Eingabe'!$B$16*(1+'00_Eingabe'!$B$14),0))</x:f>
      </x:c>
      <x:c r="L334" s="122" t="n">
        <x:f>IF(B334="Betriebsferien",0,ROUND(J334*'00_Eingabe'!$B$40,0)+IF(C334="Wochenende",'00_Eingabe'!$B$42,'00_Eingabe'!$B$41))</x:f>
        <x:v>0</x:v>
      </x:c>
      <x:c r="M334" s="123" t="str">
        <x:f>IF(J334="","",ROUND(J334*'00_Eingabe'!$B$17*(1+'00_Eingabe'!$B$15),0))</x:f>
      </x:c>
      <x:c r="N334" s="106"/>
      <x:c r="O334" s="106"/>
      <x:c r="P334" s="116"/>
      <x:c r="Q334" s="213" t="n">
        <x:f>IF(C334="Wochenende",1,0)</x:f>
        <x:v>0</x:v>
      </x:c>
      <x:c r="R334" s="213" t="n">
        <x:f>IF(AND(B334&lt;&gt;"Betriebsferien",OR(WEEKDAY(A334,2)=2,WEEKDAY(A334,2)=4)),1,0)</x:f>
        <x:v>0</x:v>
      </x:c>
      <x:c r="S334" s="214" t="n">
        <x:f>R334*MIN(1,'00_Eingabe'!$B$62/'00_Eingabe'!$B$61)</x:f>
        <x:v>0</x:v>
      </x:c>
      <x:c r="T334" s="213" t="n">
        <x:f>IF(B334="Betriebsferien",0,IF(B334="Nebensaison",IF(OR(WEEKDAY(A334,2)=1,WEEKDAY(A334,2)=3,WEEKDAY(A334,2)=5),1,0),IF(C334="Unterwoche",1,0)))</x:f>
        <x:v>0</x:v>
      </x:c>
      <x:c r="U334" s="213" t="n">
        <x:f>IF(B334="Betriebsferien",0,'00_Eingabe'!$G$24)</x:f>
        <x:v>0</x:v>
      </x:c>
    </x:row>
    <x:row r="335">
      <x:c r="A335" s="121" t="n">
        <x:f>IF(ROW()-4&lt;DATE('00_Eingabe'!$B$7+1,1,1)-DATE('00_Eingabe'!$B$7,1,1),DATE('00_Eingabe'!$B$7,1,1)+ROW()-4,"")</x:f>
        <x:v>45989</x:v>
      </x:c>
      <x:c r="B335" s="122" t="str">
        <x:f>IF(A335="","",IF(OR(AND(MONTH(A335)=12,DAY(A335)&gt;=20),AND(MONTH(A335)=1,DAY(A335)&lt;=2)),"Weihnachten",IF(OR(AND(MONTH(A335)=11,DAY(A335)&gt;=24),AND(MONTH(A335)=12,DAY(A335)&lt;=7)),"Betriebsferien",IF(OR(AND(MONTH(A335)=1,DAY(A335)&gt;=3),MONTH(A335)=2,MONTH(A335)=3,MONTH(A335)=4,MONTH(A335)=10,MONTH(A335)=11,AND(MONTH(A335)=12,DAY(A335)&lt;=15)),"Nebensaison","Hauptsaison"))))</x:f>
        <x:v>Betriebsferien</x:v>
      </x:c>
      <x:c r="C335" s="122" t="str">
        <x:f>IF(A335="","",IF(WEEKDAY(A335,2)&gt;=6,"Wochenende","Unterwoche"))</x:f>
        <x:v>Unterwoche</x:v>
      </x:c>
      <x:c r="D335" s="123" t="n">
        <x:f>IF(A335="","",IF(N335&lt;&gt;"",N335,IF(B335="Nebensaison",IF(C335="Wochenende",'00_Eingabe'!$C$24,'00_Eingabe'!$B$24),IF(B335="Hauptsaison",IF(C335="Wochenende",'00_Eingabe'!$C$25,'00_Eingabe'!$B$25),IF(B335="Weihnachten",IF(C335="Wochenende",'00_Eingabe'!$C$26,'00_Eingabe'!$B$26),IF(C335="Wochenende",'00_Eingabe'!$C$27,'00_Eingabe'!$B$27))))))</x:f>
        <x:v>0</x:v>
      </x:c>
      <x:c r="E335" s="122" t="str">
        <x:f>IF(OR(A335="",D335=""),"",ROUND('00_Eingabe'!$B$8*D335,0))</x:f>
      </x:c>
      <x:c r="F335" s="122" t="str">
        <x:f>IF(E335="","",ROUND(E335*'00_Eingabe'!$B$18,0))</x:f>
      </x:c>
      <x:c r="G335" s="123" t="n">
        <x:f>IF(A335="","",IF(O335&lt;&gt;"",O335,IF(B335="Nebensaison",IF(C335="Wochenende",'00_Eingabe'!$E$24,'00_Eingabe'!$D$24),IF(B335="Hauptsaison",IF(C335="Wochenende",'00_Eingabe'!$E$25,'00_Eingabe'!$D$25),IF(B335="Weihnachten",IF(C335="Wochenende",'00_Eingabe'!$E$26,'00_Eingabe'!$D$26),IF(C335="Wochenende",'00_Eingabe'!$E$27,'00_Eingabe'!$D$27))))))</x:f>
        <x:v>0</x:v>
      </x:c>
      <x:c r="H335" s="122" t="str">
        <x:f>IF(OR(A335="",G335=""),"",ROUND('00_Eingabe'!$B$9*G335,0))</x:f>
      </x:c>
      <x:c r="I335" s="122" t="str">
        <x:f>IF(H335="","",ROUND(H335*'00_Eingabe'!$B$19,0))</x:f>
      </x:c>
      <x:c r="J335" s="122" t="str">
        <x:f>IF(OR(F335="",I335=""),"",F335+I335)</x:f>
      </x:c>
      <x:c r="K335" s="122" t="str">
        <x:f>IF(J335="","",ROUND(J335*'00_Eingabe'!$B$16*(1+'00_Eingabe'!$B$14),0))</x:f>
      </x:c>
      <x:c r="L335" s="122" t="n">
        <x:f>IF(B335="Betriebsferien",0,ROUND(J335*'00_Eingabe'!$B$40,0)+IF(C335="Wochenende",'00_Eingabe'!$B$42,'00_Eingabe'!$B$41))</x:f>
        <x:v>0</x:v>
      </x:c>
      <x:c r="M335" s="123" t="str">
        <x:f>IF(J335="","",ROUND(J335*'00_Eingabe'!$B$17*(1+'00_Eingabe'!$B$15),0))</x:f>
      </x:c>
      <x:c r="N335" s="106"/>
      <x:c r="O335" s="106"/>
      <x:c r="P335" s="116"/>
      <x:c r="Q335" s="213" t="n">
        <x:f>IF(C335="Wochenende",1,0)</x:f>
        <x:v>0</x:v>
      </x:c>
      <x:c r="R335" s="213" t="n">
        <x:f>IF(AND(B335&lt;&gt;"Betriebsferien",OR(WEEKDAY(A335,2)=2,WEEKDAY(A335,2)=4)),1,0)</x:f>
        <x:v>0</x:v>
      </x:c>
      <x:c r="S335" s="214" t="n">
        <x:f>R335*MIN(1,'00_Eingabe'!$B$62/'00_Eingabe'!$B$61)</x:f>
        <x:v>0</x:v>
      </x:c>
      <x:c r="T335" s="213" t="n">
        <x:f>IF(B335="Betriebsferien",0,IF(B335="Nebensaison",IF(OR(WEEKDAY(A335,2)=1,WEEKDAY(A335,2)=3,WEEKDAY(A335,2)=5),1,0),IF(C335="Unterwoche",1,0)))</x:f>
        <x:v>0</x:v>
      </x:c>
      <x:c r="U335" s="213" t="n">
        <x:f>IF(B335="Betriebsferien",0,'00_Eingabe'!$G$24)</x:f>
        <x:v>0</x:v>
      </x:c>
    </x:row>
    <x:row r="336">
      <x:c r="A336" s="121" t="n">
        <x:f>IF(ROW()-4&lt;DATE('00_Eingabe'!$B$7+1,1,1)-DATE('00_Eingabe'!$B$7,1,1),DATE('00_Eingabe'!$B$7,1,1)+ROW()-4,"")</x:f>
        <x:v>45990</x:v>
      </x:c>
      <x:c r="B336" s="122" t="str">
        <x:f>IF(A336="","",IF(OR(AND(MONTH(A336)=12,DAY(A336)&gt;=20),AND(MONTH(A336)=1,DAY(A336)&lt;=2)),"Weihnachten",IF(OR(AND(MONTH(A336)=11,DAY(A336)&gt;=24),AND(MONTH(A336)=12,DAY(A336)&lt;=7)),"Betriebsferien",IF(OR(AND(MONTH(A336)=1,DAY(A336)&gt;=3),MONTH(A336)=2,MONTH(A336)=3,MONTH(A336)=4,MONTH(A336)=10,MONTH(A336)=11,AND(MONTH(A336)=12,DAY(A336)&lt;=15)),"Nebensaison","Hauptsaison"))))</x:f>
        <x:v>Betriebsferien</x:v>
      </x:c>
      <x:c r="C336" s="122" t="str">
        <x:f>IF(A336="","",IF(WEEKDAY(A336,2)&gt;=6,"Wochenende","Unterwoche"))</x:f>
        <x:v>Wochenende</x:v>
      </x:c>
      <x:c r="D336" s="123" t="n">
        <x:f>IF(A336="","",IF(N336&lt;&gt;"",N336,IF(B336="Nebensaison",IF(C336="Wochenende",'00_Eingabe'!$C$24,'00_Eingabe'!$B$24),IF(B336="Hauptsaison",IF(C336="Wochenende",'00_Eingabe'!$C$25,'00_Eingabe'!$B$25),IF(B336="Weihnachten",IF(C336="Wochenende",'00_Eingabe'!$C$26,'00_Eingabe'!$B$26),IF(C336="Wochenende",'00_Eingabe'!$C$27,'00_Eingabe'!$B$27))))))</x:f>
        <x:v>0</x:v>
      </x:c>
      <x:c r="E336" s="122" t="str">
        <x:f>IF(OR(A336="",D336=""),"",ROUND('00_Eingabe'!$B$8*D336,0))</x:f>
      </x:c>
      <x:c r="F336" s="122" t="str">
        <x:f>IF(E336="","",ROUND(E336*'00_Eingabe'!$B$18,0))</x:f>
      </x:c>
      <x:c r="G336" s="123" t="n">
        <x:f>IF(A336="","",IF(O336&lt;&gt;"",O336,IF(B336="Nebensaison",IF(C336="Wochenende",'00_Eingabe'!$E$24,'00_Eingabe'!$D$24),IF(B336="Hauptsaison",IF(C336="Wochenende",'00_Eingabe'!$E$25,'00_Eingabe'!$D$25),IF(B336="Weihnachten",IF(C336="Wochenende",'00_Eingabe'!$E$26,'00_Eingabe'!$D$26),IF(C336="Wochenende",'00_Eingabe'!$E$27,'00_Eingabe'!$D$27))))))</x:f>
        <x:v>0</x:v>
      </x:c>
      <x:c r="H336" s="122" t="str">
        <x:f>IF(OR(A336="",G336=""),"",ROUND('00_Eingabe'!$B$9*G336,0))</x:f>
      </x:c>
      <x:c r="I336" s="122" t="str">
        <x:f>IF(H336="","",ROUND(H336*'00_Eingabe'!$B$19,0))</x:f>
      </x:c>
      <x:c r="J336" s="122" t="str">
        <x:f>IF(OR(F336="",I336=""),"",F336+I336)</x:f>
      </x:c>
      <x:c r="K336" s="122" t="str">
        <x:f>IF(J336="","",ROUND(J336*'00_Eingabe'!$B$16*(1+'00_Eingabe'!$B$14),0))</x:f>
      </x:c>
      <x:c r="L336" s="122" t="n">
        <x:f>IF(B336="Betriebsferien",0,ROUND(J336*'00_Eingabe'!$B$40,0)+IF(C336="Wochenende",'00_Eingabe'!$B$42,'00_Eingabe'!$B$41))</x:f>
        <x:v>0</x:v>
      </x:c>
      <x:c r="M336" s="123" t="str">
        <x:f>IF(J336="","",ROUND(J336*'00_Eingabe'!$B$17*(1+'00_Eingabe'!$B$15),0))</x:f>
      </x:c>
      <x:c r="N336" s="106"/>
      <x:c r="O336" s="106"/>
      <x:c r="P336" s="116"/>
      <x:c r="Q336" s="213" t="n">
        <x:f>IF(C336="Wochenende",1,0)</x:f>
        <x:v>1</x:v>
      </x:c>
      <x:c r="R336" s="213" t="n">
        <x:f>IF(AND(B336&lt;&gt;"Betriebsferien",OR(WEEKDAY(A336,2)=2,WEEKDAY(A336,2)=4)),1,0)</x:f>
        <x:v>0</x:v>
      </x:c>
      <x:c r="S336" s="214" t="n">
        <x:f>R336*MIN(1,'00_Eingabe'!$B$62/'00_Eingabe'!$B$61)</x:f>
        <x:v>0</x:v>
      </x:c>
      <x:c r="T336" s="213" t="n">
        <x:f>IF(B336="Betriebsferien",0,IF(B336="Nebensaison",IF(OR(WEEKDAY(A336,2)=1,WEEKDAY(A336,2)=3,WEEKDAY(A336,2)=5),1,0),IF(C336="Unterwoche",1,0)))</x:f>
        <x:v>0</x:v>
      </x:c>
      <x:c r="U336" s="213" t="n">
        <x:f>IF(B336="Betriebsferien",0,'00_Eingabe'!$G$24)</x:f>
        <x:v>0</x:v>
      </x:c>
    </x:row>
    <x:row r="337">
      <x:c r="A337" s="121" t="n">
        <x:f>IF(ROW()-4&lt;DATE('00_Eingabe'!$B$7+1,1,1)-DATE('00_Eingabe'!$B$7,1,1),DATE('00_Eingabe'!$B$7,1,1)+ROW()-4,"")</x:f>
        <x:v>45991</x:v>
      </x:c>
      <x:c r="B337" s="122" t="str">
        <x:f>IF(A337="","",IF(OR(AND(MONTH(A337)=12,DAY(A337)&gt;=20),AND(MONTH(A337)=1,DAY(A337)&lt;=2)),"Weihnachten",IF(OR(AND(MONTH(A337)=11,DAY(A337)&gt;=24),AND(MONTH(A337)=12,DAY(A337)&lt;=7)),"Betriebsferien",IF(OR(AND(MONTH(A337)=1,DAY(A337)&gt;=3),MONTH(A337)=2,MONTH(A337)=3,MONTH(A337)=4,MONTH(A337)=10,MONTH(A337)=11,AND(MONTH(A337)=12,DAY(A337)&lt;=15)),"Nebensaison","Hauptsaison"))))</x:f>
        <x:v>Betriebsferien</x:v>
      </x:c>
      <x:c r="C337" s="122" t="str">
        <x:f>IF(A337="","",IF(WEEKDAY(A337,2)&gt;=6,"Wochenende","Unterwoche"))</x:f>
        <x:v>Wochenende</x:v>
      </x:c>
      <x:c r="D337" s="123" t="n">
        <x:f>IF(A337="","",IF(N337&lt;&gt;"",N337,IF(B337="Nebensaison",IF(C337="Wochenende",'00_Eingabe'!$C$24,'00_Eingabe'!$B$24),IF(B337="Hauptsaison",IF(C337="Wochenende",'00_Eingabe'!$C$25,'00_Eingabe'!$B$25),IF(B337="Weihnachten",IF(C337="Wochenende",'00_Eingabe'!$C$26,'00_Eingabe'!$B$26),IF(C337="Wochenende",'00_Eingabe'!$C$27,'00_Eingabe'!$B$27))))))</x:f>
        <x:v>0</x:v>
      </x:c>
      <x:c r="E337" s="122" t="str">
        <x:f>IF(OR(A337="",D337=""),"",ROUND('00_Eingabe'!$B$8*D337,0))</x:f>
      </x:c>
      <x:c r="F337" s="122" t="str">
        <x:f>IF(E337="","",ROUND(E337*'00_Eingabe'!$B$18,0))</x:f>
      </x:c>
      <x:c r="G337" s="123" t="n">
        <x:f>IF(A337="","",IF(O337&lt;&gt;"",O337,IF(B337="Nebensaison",IF(C337="Wochenende",'00_Eingabe'!$E$24,'00_Eingabe'!$D$24),IF(B337="Hauptsaison",IF(C337="Wochenende",'00_Eingabe'!$E$25,'00_Eingabe'!$D$25),IF(B337="Weihnachten",IF(C337="Wochenende",'00_Eingabe'!$E$26,'00_Eingabe'!$D$26),IF(C337="Wochenende",'00_Eingabe'!$E$27,'00_Eingabe'!$D$27))))))</x:f>
        <x:v>0</x:v>
      </x:c>
      <x:c r="H337" s="122" t="str">
        <x:f>IF(OR(A337="",G337=""),"",ROUND('00_Eingabe'!$B$9*G337,0))</x:f>
      </x:c>
      <x:c r="I337" s="122" t="str">
        <x:f>IF(H337="","",ROUND(H337*'00_Eingabe'!$B$19,0))</x:f>
      </x:c>
      <x:c r="J337" s="122" t="str">
        <x:f>IF(OR(F337="",I337=""),"",F337+I337)</x:f>
      </x:c>
      <x:c r="K337" s="122" t="str">
        <x:f>IF(J337="","",ROUND(J337*'00_Eingabe'!$B$16*(1+'00_Eingabe'!$B$14),0))</x:f>
      </x:c>
      <x:c r="L337" s="122" t="n">
        <x:f>IF(B337="Betriebsferien",0,ROUND(J337*'00_Eingabe'!$B$40,0)+IF(C337="Wochenende",'00_Eingabe'!$B$42,'00_Eingabe'!$B$41))</x:f>
        <x:v>0</x:v>
      </x:c>
      <x:c r="M337" s="123" t="str">
        <x:f>IF(J337="","",ROUND(J337*'00_Eingabe'!$B$17*(1+'00_Eingabe'!$B$15),0))</x:f>
      </x:c>
      <x:c r="N337" s="106"/>
      <x:c r="O337" s="106"/>
      <x:c r="P337" s="116"/>
      <x:c r="Q337" s="213" t="n">
        <x:f>IF(C337="Wochenende",1,0)</x:f>
        <x:v>1</x:v>
      </x:c>
      <x:c r="R337" s="213" t="n">
        <x:f>IF(AND(B337&lt;&gt;"Betriebsferien",OR(WEEKDAY(A337,2)=2,WEEKDAY(A337,2)=4)),1,0)</x:f>
        <x:v>0</x:v>
      </x:c>
      <x:c r="S337" s="214" t="n">
        <x:f>R337*MIN(1,'00_Eingabe'!$B$62/'00_Eingabe'!$B$61)</x:f>
        <x:v>0</x:v>
      </x:c>
      <x:c r="T337" s="213" t="n">
        <x:f>IF(B337="Betriebsferien",0,IF(B337="Nebensaison",IF(OR(WEEKDAY(A337,2)=1,WEEKDAY(A337,2)=3,WEEKDAY(A337,2)=5),1,0),IF(C337="Unterwoche",1,0)))</x:f>
        <x:v>0</x:v>
      </x:c>
      <x:c r="U337" s="213" t="n">
        <x:f>IF(B337="Betriebsferien",0,'00_Eingabe'!$G$24)</x:f>
        <x:v>0</x:v>
      </x:c>
    </x:row>
    <x:row r="338">
      <x:c r="A338" s="121" t="n">
        <x:f>IF(ROW()-4&lt;DATE('00_Eingabe'!$B$7+1,1,1)-DATE('00_Eingabe'!$B$7,1,1),DATE('00_Eingabe'!$B$7,1,1)+ROW()-4,"")</x:f>
        <x:v>45992</x:v>
      </x:c>
      <x:c r="B338" s="122" t="str">
        <x:f>IF(A338="","",IF(OR(AND(MONTH(A338)=12,DAY(A338)&gt;=20),AND(MONTH(A338)=1,DAY(A338)&lt;=2)),"Weihnachten",IF(OR(AND(MONTH(A338)=11,DAY(A338)&gt;=24),AND(MONTH(A338)=12,DAY(A338)&lt;=7)),"Betriebsferien",IF(OR(AND(MONTH(A338)=1,DAY(A338)&gt;=3),MONTH(A338)=2,MONTH(A338)=3,MONTH(A338)=4,MONTH(A338)=10,MONTH(A338)=11,AND(MONTH(A338)=12,DAY(A338)&lt;=15)),"Nebensaison","Hauptsaison"))))</x:f>
        <x:v>Betriebsferien</x:v>
      </x:c>
      <x:c r="C338" s="122" t="str">
        <x:f>IF(A338="","",IF(WEEKDAY(A338,2)&gt;=6,"Wochenende","Unterwoche"))</x:f>
        <x:v>Unterwoche</x:v>
      </x:c>
      <x:c r="D338" s="123" t="n">
        <x:f>IF(A338="","",IF(N338&lt;&gt;"",N338,IF(B338="Nebensaison",IF(C338="Wochenende",'00_Eingabe'!$C$24,'00_Eingabe'!$B$24),IF(B338="Hauptsaison",IF(C338="Wochenende",'00_Eingabe'!$C$25,'00_Eingabe'!$B$25),IF(B338="Weihnachten",IF(C338="Wochenende",'00_Eingabe'!$C$26,'00_Eingabe'!$B$26),IF(C338="Wochenende",'00_Eingabe'!$C$27,'00_Eingabe'!$B$27))))))</x:f>
        <x:v>0</x:v>
      </x:c>
      <x:c r="E338" s="122" t="str">
        <x:f>IF(OR(A338="",D338=""),"",ROUND('00_Eingabe'!$B$8*D338,0))</x:f>
      </x:c>
      <x:c r="F338" s="122" t="str">
        <x:f>IF(E338="","",ROUND(E338*'00_Eingabe'!$B$18,0))</x:f>
      </x:c>
      <x:c r="G338" s="123" t="n">
        <x:f>IF(A338="","",IF(O338&lt;&gt;"",O338,IF(B338="Nebensaison",IF(C338="Wochenende",'00_Eingabe'!$E$24,'00_Eingabe'!$D$24),IF(B338="Hauptsaison",IF(C338="Wochenende",'00_Eingabe'!$E$25,'00_Eingabe'!$D$25),IF(B338="Weihnachten",IF(C338="Wochenende",'00_Eingabe'!$E$26,'00_Eingabe'!$D$26),IF(C338="Wochenende",'00_Eingabe'!$E$27,'00_Eingabe'!$D$27))))))</x:f>
        <x:v>0</x:v>
      </x:c>
      <x:c r="H338" s="122" t="str">
        <x:f>IF(OR(A338="",G338=""),"",ROUND('00_Eingabe'!$B$9*G338,0))</x:f>
      </x:c>
      <x:c r="I338" s="122" t="str">
        <x:f>IF(H338="","",ROUND(H338*'00_Eingabe'!$B$19,0))</x:f>
      </x:c>
      <x:c r="J338" s="122" t="str">
        <x:f>IF(OR(F338="",I338=""),"",F338+I338)</x:f>
      </x:c>
      <x:c r="K338" s="122" t="str">
        <x:f>IF(J338="","",ROUND(J338*'00_Eingabe'!$B$16*(1+'00_Eingabe'!$B$14),0))</x:f>
      </x:c>
      <x:c r="L338" s="122" t="n">
        <x:f>IF(B338="Betriebsferien",0,ROUND(J338*'00_Eingabe'!$B$40,0)+IF(C338="Wochenende",'00_Eingabe'!$B$42,'00_Eingabe'!$B$41))</x:f>
        <x:v>0</x:v>
      </x:c>
      <x:c r="M338" s="123" t="str">
        <x:f>IF(J338="","",ROUND(J338*'00_Eingabe'!$B$17*(1+'00_Eingabe'!$B$15),0))</x:f>
      </x:c>
      <x:c r="N338" s="106"/>
      <x:c r="O338" s="106"/>
      <x:c r="P338" s="116"/>
      <x:c r="Q338" s="213" t="n">
        <x:f>IF(C338="Wochenende",1,0)</x:f>
        <x:v>0</x:v>
      </x:c>
      <x:c r="R338" s="213" t="n">
        <x:f>IF(AND(B338&lt;&gt;"Betriebsferien",OR(WEEKDAY(A338,2)=2,WEEKDAY(A338,2)=4)),1,0)</x:f>
        <x:v>0</x:v>
      </x:c>
      <x:c r="S338" s="214" t="n">
        <x:f>R338*MIN(1,'00_Eingabe'!$B$62/'00_Eingabe'!$B$61)</x:f>
        <x:v>0</x:v>
      </x:c>
      <x:c r="T338" s="213" t="n">
        <x:f>IF(B338="Betriebsferien",0,IF(B338="Nebensaison",IF(OR(WEEKDAY(A338,2)=1,WEEKDAY(A338,2)=3,WEEKDAY(A338,2)=5),1,0),IF(C338="Unterwoche",1,0)))</x:f>
        <x:v>0</x:v>
      </x:c>
      <x:c r="U338" s="213" t="n">
        <x:f>IF(B338="Betriebsferien",0,'00_Eingabe'!$G$24)</x:f>
        <x:v>0</x:v>
      </x:c>
    </x:row>
    <x:row r="339">
      <x:c r="A339" s="121" t="n">
        <x:f>IF(ROW()-4&lt;DATE('00_Eingabe'!$B$7+1,1,1)-DATE('00_Eingabe'!$B$7,1,1),DATE('00_Eingabe'!$B$7,1,1)+ROW()-4,"")</x:f>
        <x:v>45993</x:v>
      </x:c>
      <x:c r="B339" s="122" t="str">
        <x:f>IF(A339="","",IF(OR(AND(MONTH(A339)=12,DAY(A339)&gt;=20),AND(MONTH(A339)=1,DAY(A339)&lt;=2)),"Weihnachten",IF(OR(AND(MONTH(A339)=11,DAY(A339)&gt;=24),AND(MONTH(A339)=12,DAY(A339)&lt;=7)),"Betriebsferien",IF(OR(AND(MONTH(A339)=1,DAY(A339)&gt;=3),MONTH(A339)=2,MONTH(A339)=3,MONTH(A339)=4,MONTH(A339)=10,MONTH(A339)=11,AND(MONTH(A339)=12,DAY(A339)&lt;=15)),"Nebensaison","Hauptsaison"))))</x:f>
        <x:v>Betriebsferien</x:v>
      </x:c>
      <x:c r="C339" s="122" t="str">
        <x:f>IF(A339="","",IF(WEEKDAY(A339,2)&gt;=6,"Wochenende","Unterwoche"))</x:f>
        <x:v>Unterwoche</x:v>
      </x:c>
      <x:c r="D339" s="123" t="n">
        <x:f>IF(A339="","",IF(N339&lt;&gt;"",N339,IF(B339="Nebensaison",IF(C339="Wochenende",'00_Eingabe'!$C$24,'00_Eingabe'!$B$24),IF(B339="Hauptsaison",IF(C339="Wochenende",'00_Eingabe'!$C$25,'00_Eingabe'!$B$25),IF(B339="Weihnachten",IF(C339="Wochenende",'00_Eingabe'!$C$26,'00_Eingabe'!$B$26),IF(C339="Wochenende",'00_Eingabe'!$C$27,'00_Eingabe'!$B$27))))))</x:f>
        <x:v>0</x:v>
      </x:c>
      <x:c r="E339" s="122" t="str">
        <x:f>IF(OR(A339="",D339=""),"",ROUND('00_Eingabe'!$B$8*D339,0))</x:f>
      </x:c>
      <x:c r="F339" s="122" t="str">
        <x:f>IF(E339="","",ROUND(E339*'00_Eingabe'!$B$18,0))</x:f>
      </x:c>
      <x:c r="G339" s="123" t="n">
        <x:f>IF(A339="","",IF(O339&lt;&gt;"",O339,IF(B339="Nebensaison",IF(C339="Wochenende",'00_Eingabe'!$E$24,'00_Eingabe'!$D$24),IF(B339="Hauptsaison",IF(C339="Wochenende",'00_Eingabe'!$E$25,'00_Eingabe'!$D$25),IF(B339="Weihnachten",IF(C339="Wochenende",'00_Eingabe'!$E$26,'00_Eingabe'!$D$26),IF(C339="Wochenende",'00_Eingabe'!$E$27,'00_Eingabe'!$D$27))))))</x:f>
        <x:v>0</x:v>
      </x:c>
      <x:c r="H339" s="122" t="str">
        <x:f>IF(OR(A339="",G339=""),"",ROUND('00_Eingabe'!$B$9*G339,0))</x:f>
      </x:c>
      <x:c r="I339" s="122" t="str">
        <x:f>IF(H339="","",ROUND(H339*'00_Eingabe'!$B$19,0))</x:f>
      </x:c>
      <x:c r="J339" s="122" t="str">
        <x:f>IF(OR(F339="",I339=""),"",F339+I339)</x:f>
      </x:c>
      <x:c r="K339" s="122" t="str">
        <x:f>IF(J339="","",ROUND(J339*'00_Eingabe'!$B$16*(1+'00_Eingabe'!$B$14),0))</x:f>
      </x:c>
      <x:c r="L339" s="122" t="n">
        <x:f>IF(B339="Betriebsferien",0,ROUND(J339*'00_Eingabe'!$B$40,0)+IF(C339="Wochenende",'00_Eingabe'!$B$42,'00_Eingabe'!$B$41))</x:f>
        <x:v>0</x:v>
      </x:c>
      <x:c r="M339" s="123" t="str">
        <x:f>IF(J339="","",ROUND(J339*'00_Eingabe'!$B$17*(1+'00_Eingabe'!$B$15),0))</x:f>
      </x:c>
      <x:c r="N339" s="106"/>
      <x:c r="O339" s="106"/>
      <x:c r="P339" s="116"/>
      <x:c r="Q339" s="213" t="n">
        <x:f>IF(C339="Wochenende",1,0)</x:f>
        <x:v>0</x:v>
      </x:c>
      <x:c r="R339" s="213" t="n">
        <x:f>IF(AND(B339&lt;&gt;"Betriebsferien",OR(WEEKDAY(A339,2)=2,WEEKDAY(A339,2)=4)),1,0)</x:f>
        <x:v>0</x:v>
      </x:c>
      <x:c r="S339" s="214" t="n">
        <x:f>R339*MIN(1,'00_Eingabe'!$B$62/'00_Eingabe'!$B$61)</x:f>
        <x:v>0</x:v>
      </x:c>
      <x:c r="T339" s="213" t="n">
        <x:f>IF(B339="Betriebsferien",0,IF(B339="Nebensaison",IF(OR(WEEKDAY(A339,2)=1,WEEKDAY(A339,2)=3,WEEKDAY(A339,2)=5),1,0),IF(C339="Unterwoche",1,0)))</x:f>
        <x:v>0</x:v>
      </x:c>
      <x:c r="U339" s="213" t="n">
        <x:f>IF(B339="Betriebsferien",0,'00_Eingabe'!$G$24)</x:f>
        <x:v>0</x:v>
      </x:c>
    </x:row>
    <x:row r="340">
      <x:c r="A340" s="121" t="n">
        <x:f>IF(ROW()-4&lt;DATE('00_Eingabe'!$B$7+1,1,1)-DATE('00_Eingabe'!$B$7,1,1),DATE('00_Eingabe'!$B$7,1,1)+ROW()-4,"")</x:f>
        <x:v>45994</x:v>
      </x:c>
      <x:c r="B340" s="122" t="str">
        <x:f>IF(A340="","",IF(OR(AND(MONTH(A340)=12,DAY(A340)&gt;=20),AND(MONTH(A340)=1,DAY(A340)&lt;=2)),"Weihnachten",IF(OR(AND(MONTH(A340)=11,DAY(A340)&gt;=24),AND(MONTH(A340)=12,DAY(A340)&lt;=7)),"Betriebsferien",IF(OR(AND(MONTH(A340)=1,DAY(A340)&gt;=3),MONTH(A340)=2,MONTH(A340)=3,MONTH(A340)=4,MONTH(A340)=10,MONTH(A340)=11,AND(MONTH(A340)=12,DAY(A340)&lt;=15)),"Nebensaison","Hauptsaison"))))</x:f>
        <x:v>Betriebsferien</x:v>
      </x:c>
      <x:c r="C340" s="122" t="str">
        <x:f>IF(A340="","",IF(WEEKDAY(A340,2)&gt;=6,"Wochenende","Unterwoche"))</x:f>
        <x:v>Unterwoche</x:v>
      </x:c>
      <x:c r="D340" s="123" t="n">
        <x:f>IF(A340="","",IF(N340&lt;&gt;"",N340,IF(B340="Nebensaison",IF(C340="Wochenende",'00_Eingabe'!$C$24,'00_Eingabe'!$B$24),IF(B340="Hauptsaison",IF(C340="Wochenende",'00_Eingabe'!$C$25,'00_Eingabe'!$B$25),IF(B340="Weihnachten",IF(C340="Wochenende",'00_Eingabe'!$C$26,'00_Eingabe'!$B$26),IF(C340="Wochenende",'00_Eingabe'!$C$27,'00_Eingabe'!$B$27))))))</x:f>
        <x:v>0</x:v>
      </x:c>
      <x:c r="E340" s="122" t="str">
        <x:f>IF(OR(A340="",D340=""),"",ROUND('00_Eingabe'!$B$8*D340,0))</x:f>
      </x:c>
      <x:c r="F340" s="122" t="str">
        <x:f>IF(E340="","",ROUND(E340*'00_Eingabe'!$B$18,0))</x:f>
      </x:c>
      <x:c r="G340" s="123" t="n">
        <x:f>IF(A340="","",IF(O340&lt;&gt;"",O340,IF(B340="Nebensaison",IF(C340="Wochenende",'00_Eingabe'!$E$24,'00_Eingabe'!$D$24),IF(B340="Hauptsaison",IF(C340="Wochenende",'00_Eingabe'!$E$25,'00_Eingabe'!$D$25),IF(B340="Weihnachten",IF(C340="Wochenende",'00_Eingabe'!$E$26,'00_Eingabe'!$D$26),IF(C340="Wochenende",'00_Eingabe'!$E$27,'00_Eingabe'!$D$27))))))</x:f>
        <x:v>0</x:v>
      </x:c>
      <x:c r="H340" s="122" t="str">
        <x:f>IF(OR(A340="",G340=""),"",ROUND('00_Eingabe'!$B$9*G340,0))</x:f>
      </x:c>
      <x:c r="I340" s="122" t="str">
        <x:f>IF(H340="","",ROUND(H340*'00_Eingabe'!$B$19,0))</x:f>
      </x:c>
      <x:c r="J340" s="122" t="str">
        <x:f>IF(OR(F340="",I340=""),"",F340+I340)</x:f>
      </x:c>
      <x:c r="K340" s="122" t="str">
        <x:f>IF(J340="","",ROUND(J340*'00_Eingabe'!$B$16*(1+'00_Eingabe'!$B$14),0))</x:f>
      </x:c>
      <x:c r="L340" s="122" t="n">
        <x:f>IF(B340="Betriebsferien",0,ROUND(J340*'00_Eingabe'!$B$40,0)+IF(C340="Wochenende",'00_Eingabe'!$B$42,'00_Eingabe'!$B$41))</x:f>
        <x:v>0</x:v>
      </x:c>
      <x:c r="M340" s="123" t="str">
        <x:f>IF(J340="","",ROUND(J340*'00_Eingabe'!$B$17*(1+'00_Eingabe'!$B$15),0))</x:f>
      </x:c>
      <x:c r="N340" s="106"/>
      <x:c r="O340" s="106"/>
      <x:c r="P340" s="116"/>
      <x:c r="Q340" s="213" t="n">
        <x:f>IF(C340="Wochenende",1,0)</x:f>
        <x:v>0</x:v>
      </x:c>
      <x:c r="R340" s="213" t="n">
        <x:f>IF(AND(B340&lt;&gt;"Betriebsferien",OR(WEEKDAY(A340,2)=2,WEEKDAY(A340,2)=4)),1,0)</x:f>
        <x:v>0</x:v>
      </x:c>
      <x:c r="S340" s="214" t="n">
        <x:f>R340*MIN(1,'00_Eingabe'!$B$62/'00_Eingabe'!$B$61)</x:f>
        <x:v>0</x:v>
      </x:c>
      <x:c r="T340" s="213" t="n">
        <x:f>IF(B340="Betriebsferien",0,IF(B340="Nebensaison",IF(OR(WEEKDAY(A340,2)=1,WEEKDAY(A340,2)=3,WEEKDAY(A340,2)=5),1,0),IF(C340="Unterwoche",1,0)))</x:f>
        <x:v>0</x:v>
      </x:c>
      <x:c r="U340" s="213" t="n">
        <x:f>IF(B340="Betriebsferien",0,'00_Eingabe'!$G$24)</x:f>
        <x:v>0</x:v>
      </x:c>
    </x:row>
    <x:row r="341">
      <x:c r="A341" s="121" t="n">
        <x:f>IF(ROW()-4&lt;DATE('00_Eingabe'!$B$7+1,1,1)-DATE('00_Eingabe'!$B$7,1,1),DATE('00_Eingabe'!$B$7,1,1)+ROW()-4,"")</x:f>
        <x:v>45995</x:v>
      </x:c>
      <x:c r="B341" s="122" t="str">
        <x:f>IF(A341="","",IF(OR(AND(MONTH(A341)=12,DAY(A341)&gt;=20),AND(MONTH(A341)=1,DAY(A341)&lt;=2)),"Weihnachten",IF(OR(AND(MONTH(A341)=11,DAY(A341)&gt;=24),AND(MONTH(A341)=12,DAY(A341)&lt;=7)),"Betriebsferien",IF(OR(AND(MONTH(A341)=1,DAY(A341)&gt;=3),MONTH(A341)=2,MONTH(A341)=3,MONTH(A341)=4,MONTH(A341)=10,MONTH(A341)=11,AND(MONTH(A341)=12,DAY(A341)&lt;=15)),"Nebensaison","Hauptsaison"))))</x:f>
        <x:v>Betriebsferien</x:v>
      </x:c>
      <x:c r="C341" s="122" t="str">
        <x:f>IF(A341="","",IF(WEEKDAY(A341,2)&gt;=6,"Wochenende","Unterwoche"))</x:f>
        <x:v>Unterwoche</x:v>
      </x:c>
      <x:c r="D341" s="123" t="n">
        <x:f>IF(A341="","",IF(N341&lt;&gt;"",N341,IF(B341="Nebensaison",IF(C341="Wochenende",'00_Eingabe'!$C$24,'00_Eingabe'!$B$24),IF(B341="Hauptsaison",IF(C341="Wochenende",'00_Eingabe'!$C$25,'00_Eingabe'!$B$25),IF(B341="Weihnachten",IF(C341="Wochenende",'00_Eingabe'!$C$26,'00_Eingabe'!$B$26),IF(C341="Wochenende",'00_Eingabe'!$C$27,'00_Eingabe'!$B$27))))))</x:f>
        <x:v>0</x:v>
      </x:c>
      <x:c r="E341" s="122" t="str">
        <x:f>IF(OR(A341="",D341=""),"",ROUND('00_Eingabe'!$B$8*D341,0))</x:f>
      </x:c>
      <x:c r="F341" s="122" t="str">
        <x:f>IF(E341="","",ROUND(E341*'00_Eingabe'!$B$18,0))</x:f>
      </x:c>
      <x:c r="G341" s="123" t="n">
        <x:f>IF(A341="","",IF(O341&lt;&gt;"",O341,IF(B341="Nebensaison",IF(C341="Wochenende",'00_Eingabe'!$E$24,'00_Eingabe'!$D$24),IF(B341="Hauptsaison",IF(C341="Wochenende",'00_Eingabe'!$E$25,'00_Eingabe'!$D$25),IF(B341="Weihnachten",IF(C341="Wochenende",'00_Eingabe'!$E$26,'00_Eingabe'!$D$26),IF(C341="Wochenende",'00_Eingabe'!$E$27,'00_Eingabe'!$D$27))))))</x:f>
        <x:v>0</x:v>
      </x:c>
      <x:c r="H341" s="122" t="str">
        <x:f>IF(OR(A341="",G341=""),"",ROUND('00_Eingabe'!$B$9*G341,0))</x:f>
      </x:c>
      <x:c r="I341" s="122" t="str">
        <x:f>IF(H341="","",ROUND(H341*'00_Eingabe'!$B$19,0))</x:f>
      </x:c>
      <x:c r="J341" s="122" t="str">
        <x:f>IF(OR(F341="",I341=""),"",F341+I341)</x:f>
      </x:c>
      <x:c r="K341" s="122" t="str">
        <x:f>IF(J341="","",ROUND(J341*'00_Eingabe'!$B$16*(1+'00_Eingabe'!$B$14),0))</x:f>
      </x:c>
      <x:c r="L341" s="122" t="n">
        <x:f>IF(B341="Betriebsferien",0,ROUND(J341*'00_Eingabe'!$B$40,0)+IF(C341="Wochenende",'00_Eingabe'!$B$42,'00_Eingabe'!$B$41))</x:f>
        <x:v>0</x:v>
      </x:c>
      <x:c r="M341" s="123" t="str">
        <x:f>IF(J341="","",ROUND(J341*'00_Eingabe'!$B$17*(1+'00_Eingabe'!$B$15),0))</x:f>
      </x:c>
      <x:c r="N341" s="106"/>
      <x:c r="O341" s="106"/>
      <x:c r="P341" s="116"/>
      <x:c r="Q341" s="213" t="n">
        <x:f>IF(C341="Wochenende",1,0)</x:f>
        <x:v>0</x:v>
      </x:c>
      <x:c r="R341" s="213" t="n">
        <x:f>IF(AND(B341&lt;&gt;"Betriebsferien",OR(WEEKDAY(A341,2)=2,WEEKDAY(A341,2)=4)),1,0)</x:f>
        <x:v>0</x:v>
      </x:c>
      <x:c r="S341" s="214" t="n">
        <x:f>R341*MIN(1,'00_Eingabe'!$B$62/'00_Eingabe'!$B$61)</x:f>
        <x:v>0</x:v>
      </x:c>
      <x:c r="T341" s="213" t="n">
        <x:f>IF(B341="Betriebsferien",0,IF(B341="Nebensaison",IF(OR(WEEKDAY(A341,2)=1,WEEKDAY(A341,2)=3,WEEKDAY(A341,2)=5),1,0),IF(C341="Unterwoche",1,0)))</x:f>
        <x:v>0</x:v>
      </x:c>
      <x:c r="U341" s="213" t="n">
        <x:f>IF(B341="Betriebsferien",0,'00_Eingabe'!$G$24)</x:f>
        <x:v>0</x:v>
      </x:c>
    </x:row>
    <x:row r="342">
      <x:c r="A342" s="121" t="n">
        <x:f>IF(ROW()-4&lt;DATE('00_Eingabe'!$B$7+1,1,1)-DATE('00_Eingabe'!$B$7,1,1),DATE('00_Eingabe'!$B$7,1,1)+ROW()-4,"")</x:f>
        <x:v>45996</x:v>
      </x:c>
      <x:c r="B342" s="122" t="str">
        <x:f>IF(A342="","",IF(OR(AND(MONTH(A342)=12,DAY(A342)&gt;=20),AND(MONTH(A342)=1,DAY(A342)&lt;=2)),"Weihnachten",IF(OR(AND(MONTH(A342)=11,DAY(A342)&gt;=24),AND(MONTH(A342)=12,DAY(A342)&lt;=7)),"Betriebsferien",IF(OR(AND(MONTH(A342)=1,DAY(A342)&gt;=3),MONTH(A342)=2,MONTH(A342)=3,MONTH(A342)=4,MONTH(A342)=10,MONTH(A342)=11,AND(MONTH(A342)=12,DAY(A342)&lt;=15)),"Nebensaison","Hauptsaison"))))</x:f>
        <x:v>Betriebsferien</x:v>
      </x:c>
      <x:c r="C342" s="122" t="str">
        <x:f>IF(A342="","",IF(WEEKDAY(A342,2)&gt;=6,"Wochenende","Unterwoche"))</x:f>
        <x:v>Unterwoche</x:v>
      </x:c>
      <x:c r="D342" s="123" t="n">
        <x:f>IF(A342="","",IF(N342&lt;&gt;"",N342,IF(B342="Nebensaison",IF(C342="Wochenende",'00_Eingabe'!$C$24,'00_Eingabe'!$B$24),IF(B342="Hauptsaison",IF(C342="Wochenende",'00_Eingabe'!$C$25,'00_Eingabe'!$B$25),IF(B342="Weihnachten",IF(C342="Wochenende",'00_Eingabe'!$C$26,'00_Eingabe'!$B$26),IF(C342="Wochenende",'00_Eingabe'!$C$27,'00_Eingabe'!$B$27))))))</x:f>
        <x:v>0</x:v>
      </x:c>
      <x:c r="E342" s="122" t="str">
        <x:f>IF(OR(A342="",D342=""),"",ROUND('00_Eingabe'!$B$8*D342,0))</x:f>
      </x:c>
      <x:c r="F342" s="122" t="str">
        <x:f>IF(E342="","",ROUND(E342*'00_Eingabe'!$B$18,0))</x:f>
      </x:c>
      <x:c r="G342" s="123" t="n">
        <x:f>IF(A342="","",IF(O342&lt;&gt;"",O342,IF(B342="Nebensaison",IF(C342="Wochenende",'00_Eingabe'!$E$24,'00_Eingabe'!$D$24),IF(B342="Hauptsaison",IF(C342="Wochenende",'00_Eingabe'!$E$25,'00_Eingabe'!$D$25),IF(B342="Weihnachten",IF(C342="Wochenende",'00_Eingabe'!$E$26,'00_Eingabe'!$D$26),IF(C342="Wochenende",'00_Eingabe'!$E$27,'00_Eingabe'!$D$27))))))</x:f>
        <x:v>0</x:v>
      </x:c>
      <x:c r="H342" s="122" t="str">
        <x:f>IF(OR(A342="",G342=""),"",ROUND('00_Eingabe'!$B$9*G342,0))</x:f>
      </x:c>
      <x:c r="I342" s="122" t="str">
        <x:f>IF(H342="","",ROUND(H342*'00_Eingabe'!$B$19,0))</x:f>
      </x:c>
      <x:c r="J342" s="122" t="str">
        <x:f>IF(OR(F342="",I342=""),"",F342+I342)</x:f>
      </x:c>
      <x:c r="K342" s="122" t="str">
        <x:f>IF(J342="","",ROUND(J342*'00_Eingabe'!$B$16*(1+'00_Eingabe'!$B$14),0))</x:f>
      </x:c>
      <x:c r="L342" s="122" t="n">
        <x:f>IF(B342="Betriebsferien",0,ROUND(J342*'00_Eingabe'!$B$40,0)+IF(C342="Wochenende",'00_Eingabe'!$B$42,'00_Eingabe'!$B$41))</x:f>
        <x:v>0</x:v>
      </x:c>
      <x:c r="M342" s="123" t="str">
        <x:f>IF(J342="","",ROUND(J342*'00_Eingabe'!$B$17*(1+'00_Eingabe'!$B$15),0))</x:f>
      </x:c>
      <x:c r="N342" s="106"/>
      <x:c r="O342" s="106"/>
      <x:c r="P342" s="116"/>
      <x:c r="Q342" s="213" t="n">
        <x:f>IF(C342="Wochenende",1,0)</x:f>
        <x:v>0</x:v>
      </x:c>
      <x:c r="R342" s="213" t="n">
        <x:f>IF(AND(B342&lt;&gt;"Betriebsferien",OR(WEEKDAY(A342,2)=2,WEEKDAY(A342,2)=4)),1,0)</x:f>
        <x:v>0</x:v>
      </x:c>
      <x:c r="S342" s="214" t="n">
        <x:f>R342*MIN(1,'00_Eingabe'!$B$62/'00_Eingabe'!$B$61)</x:f>
        <x:v>0</x:v>
      </x:c>
      <x:c r="T342" s="213" t="n">
        <x:f>IF(B342="Betriebsferien",0,IF(B342="Nebensaison",IF(OR(WEEKDAY(A342,2)=1,WEEKDAY(A342,2)=3,WEEKDAY(A342,2)=5),1,0),IF(C342="Unterwoche",1,0)))</x:f>
        <x:v>0</x:v>
      </x:c>
      <x:c r="U342" s="213" t="n">
        <x:f>IF(B342="Betriebsferien",0,'00_Eingabe'!$G$24)</x:f>
        <x:v>0</x:v>
      </x:c>
    </x:row>
    <x:row r="343">
      <x:c r="A343" s="121" t="n">
        <x:f>IF(ROW()-4&lt;DATE('00_Eingabe'!$B$7+1,1,1)-DATE('00_Eingabe'!$B$7,1,1),DATE('00_Eingabe'!$B$7,1,1)+ROW()-4,"")</x:f>
        <x:v>45997</x:v>
      </x:c>
      <x:c r="B343" s="122" t="str">
        <x:f>IF(A343="","",IF(OR(AND(MONTH(A343)=12,DAY(A343)&gt;=20),AND(MONTH(A343)=1,DAY(A343)&lt;=2)),"Weihnachten",IF(OR(AND(MONTH(A343)=11,DAY(A343)&gt;=24),AND(MONTH(A343)=12,DAY(A343)&lt;=7)),"Betriebsferien",IF(OR(AND(MONTH(A343)=1,DAY(A343)&gt;=3),MONTH(A343)=2,MONTH(A343)=3,MONTH(A343)=4,MONTH(A343)=10,MONTH(A343)=11,AND(MONTH(A343)=12,DAY(A343)&lt;=15)),"Nebensaison","Hauptsaison"))))</x:f>
        <x:v>Betriebsferien</x:v>
      </x:c>
      <x:c r="C343" s="122" t="str">
        <x:f>IF(A343="","",IF(WEEKDAY(A343,2)&gt;=6,"Wochenende","Unterwoche"))</x:f>
        <x:v>Wochenende</x:v>
      </x:c>
      <x:c r="D343" s="123" t="n">
        <x:f>IF(A343="","",IF(N343&lt;&gt;"",N343,IF(B343="Nebensaison",IF(C343="Wochenende",'00_Eingabe'!$C$24,'00_Eingabe'!$B$24),IF(B343="Hauptsaison",IF(C343="Wochenende",'00_Eingabe'!$C$25,'00_Eingabe'!$B$25),IF(B343="Weihnachten",IF(C343="Wochenende",'00_Eingabe'!$C$26,'00_Eingabe'!$B$26),IF(C343="Wochenende",'00_Eingabe'!$C$27,'00_Eingabe'!$B$27))))))</x:f>
        <x:v>0</x:v>
      </x:c>
      <x:c r="E343" s="122" t="str">
        <x:f>IF(OR(A343="",D343=""),"",ROUND('00_Eingabe'!$B$8*D343,0))</x:f>
      </x:c>
      <x:c r="F343" s="122" t="str">
        <x:f>IF(E343="","",ROUND(E343*'00_Eingabe'!$B$18,0))</x:f>
      </x:c>
      <x:c r="G343" s="123" t="n">
        <x:f>IF(A343="","",IF(O343&lt;&gt;"",O343,IF(B343="Nebensaison",IF(C343="Wochenende",'00_Eingabe'!$E$24,'00_Eingabe'!$D$24),IF(B343="Hauptsaison",IF(C343="Wochenende",'00_Eingabe'!$E$25,'00_Eingabe'!$D$25),IF(B343="Weihnachten",IF(C343="Wochenende",'00_Eingabe'!$E$26,'00_Eingabe'!$D$26),IF(C343="Wochenende",'00_Eingabe'!$E$27,'00_Eingabe'!$D$27))))))</x:f>
        <x:v>0</x:v>
      </x:c>
      <x:c r="H343" s="122" t="str">
        <x:f>IF(OR(A343="",G343=""),"",ROUND('00_Eingabe'!$B$9*G343,0))</x:f>
      </x:c>
      <x:c r="I343" s="122" t="str">
        <x:f>IF(H343="","",ROUND(H343*'00_Eingabe'!$B$19,0))</x:f>
      </x:c>
      <x:c r="J343" s="122" t="str">
        <x:f>IF(OR(F343="",I343=""),"",F343+I343)</x:f>
      </x:c>
      <x:c r="K343" s="122" t="str">
        <x:f>IF(J343="","",ROUND(J343*'00_Eingabe'!$B$16*(1+'00_Eingabe'!$B$14),0))</x:f>
      </x:c>
      <x:c r="L343" s="122" t="n">
        <x:f>IF(B343="Betriebsferien",0,ROUND(J343*'00_Eingabe'!$B$40,0)+IF(C343="Wochenende",'00_Eingabe'!$B$42,'00_Eingabe'!$B$41))</x:f>
        <x:v>0</x:v>
      </x:c>
      <x:c r="M343" s="123" t="str">
        <x:f>IF(J343="","",ROUND(J343*'00_Eingabe'!$B$17*(1+'00_Eingabe'!$B$15),0))</x:f>
      </x:c>
      <x:c r="N343" s="106"/>
      <x:c r="O343" s="106"/>
      <x:c r="P343" s="116"/>
      <x:c r="Q343" s="213" t="n">
        <x:f>IF(C343="Wochenende",1,0)</x:f>
        <x:v>1</x:v>
      </x:c>
      <x:c r="R343" s="213" t="n">
        <x:f>IF(AND(B343&lt;&gt;"Betriebsferien",OR(WEEKDAY(A343,2)=2,WEEKDAY(A343,2)=4)),1,0)</x:f>
        <x:v>0</x:v>
      </x:c>
      <x:c r="S343" s="214" t="n">
        <x:f>R343*MIN(1,'00_Eingabe'!$B$62/'00_Eingabe'!$B$61)</x:f>
        <x:v>0</x:v>
      </x:c>
      <x:c r="T343" s="213" t="n">
        <x:f>IF(B343="Betriebsferien",0,IF(B343="Nebensaison",IF(OR(WEEKDAY(A343,2)=1,WEEKDAY(A343,2)=3,WEEKDAY(A343,2)=5),1,0),IF(C343="Unterwoche",1,0)))</x:f>
        <x:v>0</x:v>
      </x:c>
      <x:c r="U343" s="213" t="n">
        <x:f>IF(B343="Betriebsferien",0,'00_Eingabe'!$G$24)</x:f>
        <x:v>0</x:v>
      </x:c>
    </x:row>
    <x:row r="344">
      <x:c r="A344" s="121" t="n">
        <x:f>IF(ROW()-4&lt;DATE('00_Eingabe'!$B$7+1,1,1)-DATE('00_Eingabe'!$B$7,1,1),DATE('00_Eingabe'!$B$7,1,1)+ROW()-4,"")</x:f>
        <x:v>45998</x:v>
      </x:c>
      <x:c r="B344" s="122" t="str">
        <x:f>IF(A344="","",IF(OR(AND(MONTH(A344)=12,DAY(A344)&gt;=20),AND(MONTH(A344)=1,DAY(A344)&lt;=2)),"Weihnachten",IF(OR(AND(MONTH(A344)=11,DAY(A344)&gt;=24),AND(MONTH(A344)=12,DAY(A344)&lt;=7)),"Betriebsferien",IF(OR(AND(MONTH(A344)=1,DAY(A344)&gt;=3),MONTH(A344)=2,MONTH(A344)=3,MONTH(A344)=4,MONTH(A344)=10,MONTH(A344)=11,AND(MONTH(A344)=12,DAY(A344)&lt;=15)),"Nebensaison","Hauptsaison"))))</x:f>
        <x:v>Betriebsferien</x:v>
      </x:c>
      <x:c r="C344" s="122" t="str">
        <x:f>IF(A344="","",IF(WEEKDAY(A344,2)&gt;=6,"Wochenende","Unterwoche"))</x:f>
        <x:v>Wochenende</x:v>
      </x:c>
      <x:c r="D344" s="123" t="n">
        <x:f>IF(A344="","",IF(N344&lt;&gt;"",N344,IF(B344="Nebensaison",IF(C344="Wochenende",'00_Eingabe'!$C$24,'00_Eingabe'!$B$24),IF(B344="Hauptsaison",IF(C344="Wochenende",'00_Eingabe'!$C$25,'00_Eingabe'!$B$25),IF(B344="Weihnachten",IF(C344="Wochenende",'00_Eingabe'!$C$26,'00_Eingabe'!$B$26),IF(C344="Wochenende",'00_Eingabe'!$C$27,'00_Eingabe'!$B$27))))))</x:f>
        <x:v>0</x:v>
      </x:c>
      <x:c r="E344" s="122" t="str">
        <x:f>IF(OR(A344="",D344=""),"",ROUND('00_Eingabe'!$B$8*D344,0))</x:f>
      </x:c>
      <x:c r="F344" s="122" t="str">
        <x:f>IF(E344="","",ROUND(E344*'00_Eingabe'!$B$18,0))</x:f>
      </x:c>
      <x:c r="G344" s="123" t="n">
        <x:f>IF(A344="","",IF(O344&lt;&gt;"",O344,IF(B344="Nebensaison",IF(C344="Wochenende",'00_Eingabe'!$E$24,'00_Eingabe'!$D$24),IF(B344="Hauptsaison",IF(C344="Wochenende",'00_Eingabe'!$E$25,'00_Eingabe'!$D$25),IF(B344="Weihnachten",IF(C344="Wochenende",'00_Eingabe'!$E$26,'00_Eingabe'!$D$26),IF(C344="Wochenende",'00_Eingabe'!$E$27,'00_Eingabe'!$D$27))))))</x:f>
        <x:v>0</x:v>
      </x:c>
      <x:c r="H344" s="122" t="str">
        <x:f>IF(OR(A344="",G344=""),"",ROUND('00_Eingabe'!$B$9*G344,0))</x:f>
      </x:c>
      <x:c r="I344" s="122" t="str">
        <x:f>IF(H344="","",ROUND(H344*'00_Eingabe'!$B$19,0))</x:f>
      </x:c>
      <x:c r="J344" s="122" t="str">
        <x:f>IF(OR(F344="",I344=""),"",F344+I344)</x:f>
      </x:c>
      <x:c r="K344" s="122" t="str">
        <x:f>IF(J344="","",ROUND(J344*'00_Eingabe'!$B$16*(1+'00_Eingabe'!$B$14),0))</x:f>
      </x:c>
      <x:c r="L344" s="122" t="n">
        <x:f>IF(B344="Betriebsferien",0,ROUND(J344*'00_Eingabe'!$B$40,0)+IF(C344="Wochenende",'00_Eingabe'!$B$42,'00_Eingabe'!$B$41))</x:f>
        <x:v>0</x:v>
      </x:c>
      <x:c r="M344" s="123" t="str">
        <x:f>IF(J344="","",ROUND(J344*'00_Eingabe'!$B$17*(1+'00_Eingabe'!$B$15),0))</x:f>
      </x:c>
      <x:c r="N344" s="106"/>
      <x:c r="O344" s="106"/>
      <x:c r="P344" s="116"/>
      <x:c r="Q344" s="213" t="n">
        <x:f>IF(C344="Wochenende",1,0)</x:f>
        <x:v>1</x:v>
      </x:c>
      <x:c r="R344" s="213" t="n">
        <x:f>IF(AND(B344&lt;&gt;"Betriebsferien",OR(WEEKDAY(A344,2)=2,WEEKDAY(A344,2)=4)),1,0)</x:f>
        <x:v>0</x:v>
      </x:c>
      <x:c r="S344" s="214" t="n">
        <x:f>R344*MIN(1,'00_Eingabe'!$B$62/'00_Eingabe'!$B$61)</x:f>
        <x:v>0</x:v>
      </x:c>
      <x:c r="T344" s="213" t="n">
        <x:f>IF(B344="Betriebsferien",0,IF(B344="Nebensaison",IF(OR(WEEKDAY(A344,2)=1,WEEKDAY(A344,2)=3,WEEKDAY(A344,2)=5),1,0),IF(C344="Unterwoche",1,0)))</x:f>
        <x:v>0</x:v>
      </x:c>
      <x:c r="U344" s="213" t="n">
        <x:f>IF(B344="Betriebsferien",0,'00_Eingabe'!$G$24)</x:f>
        <x:v>0</x:v>
      </x:c>
    </x:row>
    <x:row r="345">
      <x:c r="A345" s="121" t="n">
        <x:f>IF(ROW()-4&lt;DATE('00_Eingabe'!$B$7+1,1,1)-DATE('00_Eingabe'!$B$7,1,1),DATE('00_Eingabe'!$B$7,1,1)+ROW()-4,"")</x:f>
        <x:v>45999</x:v>
      </x:c>
      <x:c r="B345" s="122" t="str">
        <x:f>IF(A345="","",IF(OR(AND(MONTH(A345)=12,DAY(A345)&gt;=20),AND(MONTH(A345)=1,DAY(A345)&lt;=2)),"Weihnachten",IF(OR(AND(MONTH(A345)=11,DAY(A345)&gt;=24),AND(MONTH(A345)=12,DAY(A345)&lt;=7)),"Betriebsferien",IF(OR(AND(MONTH(A345)=1,DAY(A345)&gt;=3),MONTH(A345)=2,MONTH(A345)=3,MONTH(A345)=4,MONTH(A345)=10,MONTH(A345)=11,AND(MONTH(A345)=12,DAY(A345)&lt;=15)),"Nebensaison","Hauptsaison"))))</x:f>
        <x:v>Nebensaison</x:v>
      </x:c>
      <x:c r="C345" s="122" t="str">
        <x:f>IF(A345="","",IF(WEEKDAY(A345,2)&gt;=6,"Wochenende","Unterwoche"))</x:f>
        <x:v>Unterwoche</x:v>
      </x:c>
      <x:c r="D345" s="123" t="n">
        <x:f>IF(A345="","",IF(N345&lt;&gt;"",N345,IF(B345="Nebensaison",IF(C345="Wochenende",'00_Eingabe'!$C$24,'00_Eingabe'!$B$24),IF(B345="Hauptsaison",IF(C345="Wochenende",'00_Eingabe'!$C$25,'00_Eingabe'!$B$25),IF(B345="Weihnachten",IF(C345="Wochenende",'00_Eingabe'!$C$26,'00_Eingabe'!$B$26),IF(C345="Wochenende",'00_Eingabe'!$C$27,'00_Eingabe'!$B$27))))))</x:f>
        <x:v>0.7</x:v>
      </x:c>
      <x:c r="E345" s="122" t="n">
        <x:f>IF(OR(A345="",D345=""),"",ROUND('00_Eingabe'!$B$8*D345,0))</x:f>
        <x:v>25</x:v>
      </x:c>
      <x:c r="F345" s="122" t="n">
        <x:f>IF(E345="","",ROUND(E345*'00_Eingabe'!$B$18,0))</x:f>
        <x:v>48</x:v>
      </x:c>
      <x:c r="G345" s="123" t="n">
        <x:f>IF(A345="","",IF(O345&lt;&gt;"",O345,IF(B345="Nebensaison",IF(C345="Wochenende",'00_Eingabe'!$E$24,'00_Eingabe'!$D$24),IF(B345="Hauptsaison",IF(C345="Wochenende",'00_Eingabe'!$E$25,'00_Eingabe'!$D$25),IF(B345="Weihnachten",IF(C345="Wochenende",'00_Eingabe'!$E$26,'00_Eingabe'!$D$26),IF(C345="Wochenende",'00_Eingabe'!$E$27,'00_Eingabe'!$D$27))))))</x:f>
        <x:v>0.7</x:v>
      </x:c>
      <x:c r="H345" s="122" t="n">
        <x:f>IF(OR(A345="",G345=""),"",ROUND('00_Eingabe'!$B$9*G345,0))</x:f>
        <x:v>3</x:v>
      </x:c>
      <x:c r="I345" s="122" t="n">
        <x:f>IF(H345="","",ROUND(H345*'00_Eingabe'!$B$19,0))</x:f>
        <x:v>7</x:v>
      </x:c>
      <x:c r="J345" s="122" t="n">
        <x:f>IF(OR(F345="",I345=""),"",F345+I345)</x:f>
        <x:v>55</x:v>
      </x:c>
      <x:c r="K345" s="122" t="n">
        <x:f>IF(J345="","",ROUND(J345*'00_Eingabe'!$B$16*(1+'00_Eingabe'!$B$14),0))</x:f>
        <x:v>63</x:v>
      </x:c>
      <x:c r="L345" s="122" t="n">
        <x:f>IF(B345="Betriebsferien",0,ROUND(J345*'00_Eingabe'!$B$40,0)+IF(C345="Wochenende",'00_Eingabe'!$B$42,'00_Eingabe'!$B$41))</x:f>
        <x:v>55</x:v>
      </x:c>
      <x:c r="M345" s="123" t="n">
        <x:f>IF(J345="","",ROUND(J345*'00_Eingabe'!$B$17*(1+'00_Eingabe'!$B$15),0))</x:f>
        <x:v>63</x:v>
      </x:c>
      <x:c r="N345" s="106"/>
      <x:c r="O345" s="106"/>
      <x:c r="P345" s="116"/>
      <x:c r="Q345" s="213" t="n">
        <x:f>IF(C345="Wochenende",1,0)</x:f>
        <x:v>0</x:v>
      </x:c>
      <x:c r="R345" s="213" t="n">
        <x:f>IF(AND(B345&lt;&gt;"Betriebsferien",OR(WEEKDAY(A345,2)=2,WEEKDAY(A345,2)=4)),1,0)</x:f>
        <x:v>0</x:v>
      </x:c>
      <x:c r="S345" s="214" t="n">
        <x:f>R345*MIN(1,'00_Eingabe'!$B$62/'00_Eingabe'!$B$61)</x:f>
        <x:v>0</x:v>
      </x:c>
      <x:c r="T345" s="213" t="n">
        <x:f>IF(B345="Betriebsferien",0,IF(B345="Nebensaison",IF(OR(WEEKDAY(A345,2)=1,WEEKDAY(A345,2)=3,WEEKDAY(A345,2)=5),1,0),IF(C345="Unterwoche",1,0)))</x:f>
        <x:v>1</x:v>
      </x:c>
      <x:c r="U345" s="213" t="n">
        <x:f>IF(B345="Betriebsferien",0,'00_Eingabe'!$G$24)</x:f>
        <x:v>8</x:v>
      </x:c>
    </x:row>
    <x:row r="346">
      <x:c r="A346" s="121" t="n">
        <x:f>IF(ROW()-4&lt;DATE('00_Eingabe'!$B$7+1,1,1)-DATE('00_Eingabe'!$B$7,1,1),DATE('00_Eingabe'!$B$7,1,1)+ROW()-4,"")</x:f>
        <x:v>46000</x:v>
      </x:c>
      <x:c r="B346" s="122" t="str">
        <x:f>IF(A346="","",IF(OR(AND(MONTH(A346)=12,DAY(A346)&gt;=20),AND(MONTH(A346)=1,DAY(A346)&lt;=2)),"Weihnachten",IF(OR(AND(MONTH(A346)=11,DAY(A346)&gt;=24),AND(MONTH(A346)=12,DAY(A346)&lt;=7)),"Betriebsferien",IF(OR(AND(MONTH(A346)=1,DAY(A346)&gt;=3),MONTH(A346)=2,MONTH(A346)=3,MONTH(A346)=4,MONTH(A346)=10,MONTH(A346)=11,AND(MONTH(A346)=12,DAY(A346)&lt;=15)),"Nebensaison","Hauptsaison"))))</x:f>
        <x:v>Nebensaison</x:v>
      </x:c>
      <x:c r="C346" s="122" t="str">
        <x:f>IF(A346="","",IF(WEEKDAY(A346,2)&gt;=6,"Wochenende","Unterwoche"))</x:f>
        <x:v>Unterwoche</x:v>
      </x:c>
      <x:c r="D346" s="123" t="n">
        <x:f>IF(A346="","",IF(N346&lt;&gt;"",N346,IF(B346="Nebensaison",IF(C346="Wochenende",'00_Eingabe'!$C$24,'00_Eingabe'!$B$24),IF(B346="Hauptsaison",IF(C346="Wochenende",'00_Eingabe'!$C$25,'00_Eingabe'!$B$25),IF(B346="Weihnachten",IF(C346="Wochenende",'00_Eingabe'!$C$26,'00_Eingabe'!$B$26),IF(C346="Wochenende",'00_Eingabe'!$C$27,'00_Eingabe'!$B$27))))))</x:f>
        <x:v>0.7</x:v>
      </x:c>
      <x:c r="E346" s="122" t="n">
        <x:f>IF(OR(A346="",D346=""),"",ROUND('00_Eingabe'!$B$8*D346,0))</x:f>
        <x:v>25</x:v>
      </x:c>
      <x:c r="F346" s="122" t="n">
        <x:f>IF(E346="","",ROUND(E346*'00_Eingabe'!$B$18,0))</x:f>
        <x:v>48</x:v>
      </x:c>
      <x:c r="G346" s="123" t="n">
        <x:f>IF(A346="","",IF(O346&lt;&gt;"",O346,IF(B346="Nebensaison",IF(C346="Wochenende",'00_Eingabe'!$E$24,'00_Eingabe'!$D$24),IF(B346="Hauptsaison",IF(C346="Wochenende",'00_Eingabe'!$E$25,'00_Eingabe'!$D$25),IF(B346="Weihnachten",IF(C346="Wochenende",'00_Eingabe'!$E$26,'00_Eingabe'!$D$26),IF(C346="Wochenende",'00_Eingabe'!$E$27,'00_Eingabe'!$D$27))))))</x:f>
        <x:v>0.7</x:v>
      </x:c>
      <x:c r="H346" s="122" t="n">
        <x:f>IF(OR(A346="",G346=""),"",ROUND('00_Eingabe'!$B$9*G346,0))</x:f>
        <x:v>3</x:v>
      </x:c>
      <x:c r="I346" s="122" t="n">
        <x:f>IF(H346="","",ROUND(H346*'00_Eingabe'!$B$19,0))</x:f>
        <x:v>7</x:v>
      </x:c>
      <x:c r="J346" s="122" t="n">
        <x:f>IF(OR(F346="",I346=""),"",F346+I346)</x:f>
        <x:v>55</x:v>
      </x:c>
      <x:c r="K346" s="122" t="n">
        <x:f>IF(J346="","",ROUND(J346*'00_Eingabe'!$B$16*(1+'00_Eingabe'!$B$14),0))</x:f>
        <x:v>63</x:v>
      </x:c>
      <x:c r="L346" s="122" t="n">
        <x:f>IF(B346="Betriebsferien",0,ROUND(J346*'00_Eingabe'!$B$40,0)+IF(C346="Wochenende",'00_Eingabe'!$B$42,'00_Eingabe'!$B$41))</x:f>
        <x:v>55</x:v>
      </x:c>
      <x:c r="M346" s="123" t="n">
        <x:f>IF(J346="","",ROUND(J346*'00_Eingabe'!$B$17*(1+'00_Eingabe'!$B$15),0))</x:f>
        <x:v>63</x:v>
      </x:c>
      <x:c r="N346" s="106"/>
      <x:c r="O346" s="106"/>
      <x:c r="P346" s="116"/>
      <x:c r="Q346" s="213" t="n">
        <x:f>IF(C346="Wochenende",1,0)</x:f>
        <x:v>0</x:v>
      </x:c>
      <x:c r="R346" s="213" t="n">
        <x:f>IF(AND(B346&lt;&gt;"Betriebsferien",OR(WEEKDAY(A346,2)=2,WEEKDAY(A346,2)=4)),1,0)</x:f>
        <x:v>1</x:v>
      </x:c>
      <x:c r="S346" s="214" t="n">
        <x:f>R346*MIN(1,'00_Eingabe'!$B$62/'00_Eingabe'!$B$61)</x:f>
        <x:v>0.5</x:v>
      </x:c>
      <x:c r="T346" s="213" t="n">
        <x:f>IF(B346="Betriebsferien",0,IF(B346="Nebensaison",IF(OR(WEEKDAY(A346,2)=1,WEEKDAY(A346,2)=3,WEEKDAY(A346,2)=5),1,0),IF(C346="Unterwoche",1,0)))</x:f>
        <x:v>0</x:v>
      </x:c>
      <x:c r="U346" s="213" t="n">
        <x:f>IF(B346="Betriebsferien",0,'00_Eingabe'!$G$24)</x:f>
        <x:v>8</x:v>
      </x:c>
    </x:row>
    <x:row r="347">
      <x:c r="A347" s="121" t="n">
        <x:f>IF(ROW()-4&lt;DATE('00_Eingabe'!$B$7+1,1,1)-DATE('00_Eingabe'!$B$7,1,1),DATE('00_Eingabe'!$B$7,1,1)+ROW()-4,"")</x:f>
        <x:v>46001</x:v>
      </x:c>
      <x:c r="B347" s="122" t="str">
        <x:f>IF(A347="","",IF(OR(AND(MONTH(A347)=12,DAY(A347)&gt;=20),AND(MONTH(A347)=1,DAY(A347)&lt;=2)),"Weihnachten",IF(OR(AND(MONTH(A347)=11,DAY(A347)&gt;=24),AND(MONTH(A347)=12,DAY(A347)&lt;=7)),"Betriebsferien",IF(OR(AND(MONTH(A347)=1,DAY(A347)&gt;=3),MONTH(A347)=2,MONTH(A347)=3,MONTH(A347)=4,MONTH(A347)=10,MONTH(A347)=11,AND(MONTH(A347)=12,DAY(A347)&lt;=15)),"Nebensaison","Hauptsaison"))))</x:f>
        <x:v>Nebensaison</x:v>
      </x:c>
      <x:c r="C347" s="122" t="str">
        <x:f>IF(A347="","",IF(WEEKDAY(A347,2)&gt;=6,"Wochenende","Unterwoche"))</x:f>
        <x:v>Unterwoche</x:v>
      </x:c>
      <x:c r="D347" s="123" t="n">
        <x:f>IF(A347="","",IF(N347&lt;&gt;"",N347,IF(B347="Nebensaison",IF(C347="Wochenende",'00_Eingabe'!$C$24,'00_Eingabe'!$B$24),IF(B347="Hauptsaison",IF(C347="Wochenende",'00_Eingabe'!$C$25,'00_Eingabe'!$B$25),IF(B347="Weihnachten",IF(C347="Wochenende",'00_Eingabe'!$C$26,'00_Eingabe'!$B$26),IF(C347="Wochenende",'00_Eingabe'!$C$27,'00_Eingabe'!$B$27))))))</x:f>
        <x:v>0.7</x:v>
      </x:c>
      <x:c r="E347" s="122" t="n">
        <x:f>IF(OR(A347="",D347=""),"",ROUND('00_Eingabe'!$B$8*D347,0))</x:f>
        <x:v>25</x:v>
      </x:c>
      <x:c r="F347" s="122" t="n">
        <x:f>IF(E347="","",ROUND(E347*'00_Eingabe'!$B$18,0))</x:f>
        <x:v>48</x:v>
      </x:c>
      <x:c r="G347" s="123" t="n">
        <x:f>IF(A347="","",IF(O347&lt;&gt;"",O347,IF(B347="Nebensaison",IF(C347="Wochenende",'00_Eingabe'!$E$24,'00_Eingabe'!$D$24),IF(B347="Hauptsaison",IF(C347="Wochenende",'00_Eingabe'!$E$25,'00_Eingabe'!$D$25),IF(B347="Weihnachten",IF(C347="Wochenende",'00_Eingabe'!$E$26,'00_Eingabe'!$D$26),IF(C347="Wochenende",'00_Eingabe'!$E$27,'00_Eingabe'!$D$27))))))</x:f>
        <x:v>0.7</x:v>
      </x:c>
      <x:c r="H347" s="122" t="n">
        <x:f>IF(OR(A347="",G347=""),"",ROUND('00_Eingabe'!$B$9*G347,0))</x:f>
        <x:v>3</x:v>
      </x:c>
      <x:c r="I347" s="122" t="n">
        <x:f>IF(H347="","",ROUND(H347*'00_Eingabe'!$B$19,0))</x:f>
        <x:v>7</x:v>
      </x:c>
      <x:c r="J347" s="122" t="n">
        <x:f>IF(OR(F347="",I347=""),"",F347+I347)</x:f>
        <x:v>55</x:v>
      </x:c>
      <x:c r="K347" s="122" t="n">
        <x:f>IF(J347="","",ROUND(J347*'00_Eingabe'!$B$16*(1+'00_Eingabe'!$B$14),0))</x:f>
        <x:v>63</x:v>
      </x:c>
      <x:c r="L347" s="122" t="n">
        <x:f>IF(B347="Betriebsferien",0,ROUND(J347*'00_Eingabe'!$B$40,0)+IF(C347="Wochenende",'00_Eingabe'!$B$42,'00_Eingabe'!$B$41))</x:f>
        <x:v>55</x:v>
      </x:c>
      <x:c r="M347" s="123" t="n">
        <x:f>IF(J347="","",ROUND(J347*'00_Eingabe'!$B$17*(1+'00_Eingabe'!$B$15),0))</x:f>
        <x:v>63</x:v>
      </x:c>
      <x:c r="N347" s="106"/>
      <x:c r="O347" s="106"/>
      <x:c r="P347" s="116"/>
      <x:c r="Q347" s="213" t="n">
        <x:f>IF(C347="Wochenende",1,0)</x:f>
        <x:v>0</x:v>
      </x:c>
      <x:c r="R347" s="213" t="n">
        <x:f>IF(AND(B347&lt;&gt;"Betriebsferien",OR(WEEKDAY(A347,2)=2,WEEKDAY(A347,2)=4)),1,0)</x:f>
        <x:v>0</x:v>
      </x:c>
      <x:c r="S347" s="214" t="n">
        <x:f>R347*MIN(1,'00_Eingabe'!$B$62/'00_Eingabe'!$B$61)</x:f>
        <x:v>0</x:v>
      </x:c>
      <x:c r="T347" s="213" t="n">
        <x:f>IF(B347="Betriebsferien",0,IF(B347="Nebensaison",IF(OR(WEEKDAY(A347,2)=1,WEEKDAY(A347,2)=3,WEEKDAY(A347,2)=5),1,0),IF(C347="Unterwoche",1,0)))</x:f>
        <x:v>1</x:v>
      </x:c>
      <x:c r="U347" s="213" t="n">
        <x:f>IF(B347="Betriebsferien",0,'00_Eingabe'!$G$24)</x:f>
        <x:v>8</x:v>
      </x:c>
    </x:row>
    <x:row r="348">
      <x:c r="A348" s="121" t="n">
        <x:f>IF(ROW()-4&lt;DATE('00_Eingabe'!$B$7+1,1,1)-DATE('00_Eingabe'!$B$7,1,1),DATE('00_Eingabe'!$B$7,1,1)+ROW()-4,"")</x:f>
        <x:v>46002</x:v>
      </x:c>
      <x:c r="B348" s="122" t="str">
        <x:f>IF(A348="","",IF(OR(AND(MONTH(A348)=12,DAY(A348)&gt;=20),AND(MONTH(A348)=1,DAY(A348)&lt;=2)),"Weihnachten",IF(OR(AND(MONTH(A348)=11,DAY(A348)&gt;=24),AND(MONTH(A348)=12,DAY(A348)&lt;=7)),"Betriebsferien",IF(OR(AND(MONTH(A348)=1,DAY(A348)&gt;=3),MONTH(A348)=2,MONTH(A348)=3,MONTH(A348)=4,MONTH(A348)=10,MONTH(A348)=11,AND(MONTH(A348)=12,DAY(A348)&lt;=15)),"Nebensaison","Hauptsaison"))))</x:f>
        <x:v>Nebensaison</x:v>
      </x:c>
      <x:c r="C348" s="122" t="str">
        <x:f>IF(A348="","",IF(WEEKDAY(A348,2)&gt;=6,"Wochenende","Unterwoche"))</x:f>
        <x:v>Unterwoche</x:v>
      </x:c>
      <x:c r="D348" s="123" t="n">
        <x:f>IF(A348="","",IF(N348&lt;&gt;"",N348,IF(B348="Nebensaison",IF(C348="Wochenende",'00_Eingabe'!$C$24,'00_Eingabe'!$B$24),IF(B348="Hauptsaison",IF(C348="Wochenende",'00_Eingabe'!$C$25,'00_Eingabe'!$B$25),IF(B348="Weihnachten",IF(C348="Wochenende",'00_Eingabe'!$C$26,'00_Eingabe'!$B$26),IF(C348="Wochenende",'00_Eingabe'!$C$27,'00_Eingabe'!$B$27))))))</x:f>
        <x:v>0.7</x:v>
      </x:c>
      <x:c r="E348" s="122" t="n">
        <x:f>IF(OR(A348="",D348=""),"",ROUND('00_Eingabe'!$B$8*D348,0))</x:f>
        <x:v>25</x:v>
      </x:c>
      <x:c r="F348" s="122" t="n">
        <x:f>IF(E348="","",ROUND(E348*'00_Eingabe'!$B$18,0))</x:f>
        <x:v>48</x:v>
      </x:c>
      <x:c r="G348" s="123" t="n">
        <x:f>IF(A348="","",IF(O348&lt;&gt;"",O348,IF(B348="Nebensaison",IF(C348="Wochenende",'00_Eingabe'!$E$24,'00_Eingabe'!$D$24),IF(B348="Hauptsaison",IF(C348="Wochenende",'00_Eingabe'!$E$25,'00_Eingabe'!$D$25),IF(B348="Weihnachten",IF(C348="Wochenende",'00_Eingabe'!$E$26,'00_Eingabe'!$D$26),IF(C348="Wochenende",'00_Eingabe'!$E$27,'00_Eingabe'!$D$27))))))</x:f>
        <x:v>0.7</x:v>
      </x:c>
      <x:c r="H348" s="122" t="n">
        <x:f>IF(OR(A348="",G348=""),"",ROUND('00_Eingabe'!$B$9*G348,0))</x:f>
        <x:v>3</x:v>
      </x:c>
      <x:c r="I348" s="122" t="n">
        <x:f>IF(H348="","",ROUND(H348*'00_Eingabe'!$B$19,0))</x:f>
        <x:v>7</x:v>
      </x:c>
      <x:c r="J348" s="122" t="n">
        <x:f>IF(OR(F348="",I348=""),"",F348+I348)</x:f>
        <x:v>55</x:v>
      </x:c>
      <x:c r="K348" s="122" t="n">
        <x:f>IF(J348="","",ROUND(J348*'00_Eingabe'!$B$16*(1+'00_Eingabe'!$B$14),0))</x:f>
        <x:v>63</x:v>
      </x:c>
      <x:c r="L348" s="122" t="n">
        <x:f>IF(B348="Betriebsferien",0,ROUND(J348*'00_Eingabe'!$B$40,0)+IF(C348="Wochenende",'00_Eingabe'!$B$42,'00_Eingabe'!$B$41))</x:f>
        <x:v>55</x:v>
      </x:c>
      <x:c r="M348" s="123" t="n">
        <x:f>IF(J348="","",ROUND(J348*'00_Eingabe'!$B$17*(1+'00_Eingabe'!$B$15),0))</x:f>
        <x:v>63</x:v>
      </x:c>
      <x:c r="N348" s="106"/>
      <x:c r="O348" s="106"/>
      <x:c r="P348" s="116"/>
      <x:c r="Q348" s="213" t="n">
        <x:f>IF(C348="Wochenende",1,0)</x:f>
        <x:v>0</x:v>
      </x:c>
      <x:c r="R348" s="213" t="n">
        <x:f>IF(AND(B348&lt;&gt;"Betriebsferien",OR(WEEKDAY(A348,2)=2,WEEKDAY(A348,2)=4)),1,0)</x:f>
        <x:v>1</x:v>
      </x:c>
      <x:c r="S348" s="214" t="n">
        <x:f>R348*MIN(1,'00_Eingabe'!$B$62/'00_Eingabe'!$B$61)</x:f>
        <x:v>0.5</x:v>
      </x:c>
      <x:c r="T348" s="213" t="n">
        <x:f>IF(B348="Betriebsferien",0,IF(B348="Nebensaison",IF(OR(WEEKDAY(A348,2)=1,WEEKDAY(A348,2)=3,WEEKDAY(A348,2)=5),1,0),IF(C348="Unterwoche",1,0)))</x:f>
        <x:v>0</x:v>
      </x:c>
      <x:c r="U348" s="213" t="n">
        <x:f>IF(B348="Betriebsferien",0,'00_Eingabe'!$G$24)</x:f>
        <x:v>8</x:v>
      </x:c>
    </x:row>
    <x:row r="349">
      <x:c r="A349" s="121" t="n">
        <x:f>IF(ROW()-4&lt;DATE('00_Eingabe'!$B$7+1,1,1)-DATE('00_Eingabe'!$B$7,1,1),DATE('00_Eingabe'!$B$7,1,1)+ROW()-4,"")</x:f>
        <x:v>46003</x:v>
      </x:c>
      <x:c r="B349" s="122" t="str">
        <x:f>IF(A349="","",IF(OR(AND(MONTH(A349)=12,DAY(A349)&gt;=20),AND(MONTH(A349)=1,DAY(A349)&lt;=2)),"Weihnachten",IF(OR(AND(MONTH(A349)=11,DAY(A349)&gt;=24),AND(MONTH(A349)=12,DAY(A349)&lt;=7)),"Betriebsferien",IF(OR(AND(MONTH(A349)=1,DAY(A349)&gt;=3),MONTH(A349)=2,MONTH(A349)=3,MONTH(A349)=4,MONTH(A349)=10,MONTH(A349)=11,AND(MONTH(A349)=12,DAY(A349)&lt;=15)),"Nebensaison","Hauptsaison"))))</x:f>
        <x:v>Nebensaison</x:v>
      </x:c>
      <x:c r="C349" s="122" t="str">
        <x:f>IF(A349="","",IF(WEEKDAY(A349,2)&gt;=6,"Wochenende","Unterwoche"))</x:f>
        <x:v>Unterwoche</x:v>
      </x:c>
      <x:c r="D349" s="123" t="n">
        <x:f>IF(A349="","",IF(N349&lt;&gt;"",N349,IF(B349="Nebensaison",IF(C349="Wochenende",'00_Eingabe'!$C$24,'00_Eingabe'!$B$24),IF(B349="Hauptsaison",IF(C349="Wochenende",'00_Eingabe'!$C$25,'00_Eingabe'!$B$25),IF(B349="Weihnachten",IF(C349="Wochenende",'00_Eingabe'!$C$26,'00_Eingabe'!$B$26),IF(C349="Wochenende",'00_Eingabe'!$C$27,'00_Eingabe'!$B$27))))))</x:f>
        <x:v>0.7</x:v>
      </x:c>
      <x:c r="E349" s="122" t="n">
        <x:f>IF(OR(A349="",D349=""),"",ROUND('00_Eingabe'!$B$8*D349,0))</x:f>
        <x:v>25</x:v>
      </x:c>
      <x:c r="F349" s="122" t="n">
        <x:f>IF(E349="","",ROUND(E349*'00_Eingabe'!$B$18,0))</x:f>
        <x:v>48</x:v>
      </x:c>
      <x:c r="G349" s="123" t="n">
        <x:f>IF(A349="","",IF(O349&lt;&gt;"",O349,IF(B349="Nebensaison",IF(C349="Wochenende",'00_Eingabe'!$E$24,'00_Eingabe'!$D$24),IF(B349="Hauptsaison",IF(C349="Wochenende",'00_Eingabe'!$E$25,'00_Eingabe'!$D$25),IF(B349="Weihnachten",IF(C349="Wochenende",'00_Eingabe'!$E$26,'00_Eingabe'!$D$26),IF(C349="Wochenende",'00_Eingabe'!$E$27,'00_Eingabe'!$D$27))))))</x:f>
        <x:v>0.7</x:v>
      </x:c>
      <x:c r="H349" s="122" t="n">
        <x:f>IF(OR(A349="",G349=""),"",ROUND('00_Eingabe'!$B$9*G349,0))</x:f>
        <x:v>3</x:v>
      </x:c>
      <x:c r="I349" s="122" t="n">
        <x:f>IF(H349="","",ROUND(H349*'00_Eingabe'!$B$19,0))</x:f>
        <x:v>7</x:v>
      </x:c>
      <x:c r="J349" s="122" t="n">
        <x:f>IF(OR(F349="",I349=""),"",F349+I349)</x:f>
        <x:v>55</x:v>
      </x:c>
      <x:c r="K349" s="122" t="n">
        <x:f>IF(J349="","",ROUND(J349*'00_Eingabe'!$B$16*(1+'00_Eingabe'!$B$14),0))</x:f>
        <x:v>63</x:v>
      </x:c>
      <x:c r="L349" s="122" t="n">
        <x:f>IF(B349="Betriebsferien",0,ROUND(J349*'00_Eingabe'!$B$40,0)+IF(C349="Wochenende",'00_Eingabe'!$B$42,'00_Eingabe'!$B$41))</x:f>
        <x:v>55</x:v>
      </x:c>
      <x:c r="M349" s="123" t="n">
        <x:f>IF(J349="","",ROUND(J349*'00_Eingabe'!$B$17*(1+'00_Eingabe'!$B$15),0))</x:f>
        <x:v>63</x:v>
      </x:c>
      <x:c r="N349" s="106"/>
      <x:c r="O349" s="106"/>
      <x:c r="P349" s="116"/>
      <x:c r="Q349" s="213" t="n">
        <x:f>IF(C349="Wochenende",1,0)</x:f>
        <x:v>0</x:v>
      </x:c>
      <x:c r="R349" s="213" t="n">
        <x:f>IF(AND(B349&lt;&gt;"Betriebsferien",OR(WEEKDAY(A349,2)=2,WEEKDAY(A349,2)=4)),1,0)</x:f>
        <x:v>0</x:v>
      </x:c>
      <x:c r="S349" s="214" t="n">
        <x:f>R349*MIN(1,'00_Eingabe'!$B$62/'00_Eingabe'!$B$61)</x:f>
        <x:v>0</x:v>
      </x:c>
      <x:c r="T349" s="213" t="n">
        <x:f>IF(B349="Betriebsferien",0,IF(B349="Nebensaison",IF(OR(WEEKDAY(A349,2)=1,WEEKDAY(A349,2)=3,WEEKDAY(A349,2)=5),1,0),IF(C349="Unterwoche",1,0)))</x:f>
        <x:v>1</x:v>
      </x:c>
      <x:c r="U349" s="213" t="n">
        <x:f>IF(B349="Betriebsferien",0,'00_Eingabe'!$G$24)</x:f>
        <x:v>8</x:v>
      </x:c>
    </x:row>
    <x:row r="350">
      <x:c r="A350" s="121" t="n">
        <x:f>IF(ROW()-4&lt;DATE('00_Eingabe'!$B$7+1,1,1)-DATE('00_Eingabe'!$B$7,1,1),DATE('00_Eingabe'!$B$7,1,1)+ROW()-4,"")</x:f>
        <x:v>46004</x:v>
      </x:c>
      <x:c r="B350" s="122" t="str">
        <x:f>IF(A350="","",IF(OR(AND(MONTH(A350)=12,DAY(A350)&gt;=20),AND(MONTH(A350)=1,DAY(A350)&lt;=2)),"Weihnachten",IF(OR(AND(MONTH(A350)=11,DAY(A350)&gt;=24),AND(MONTH(A350)=12,DAY(A350)&lt;=7)),"Betriebsferien",IF(OR(AND(MONTH(A350)=1,DAY(A350)&gt;=3),MONTH(A350)=2,MONTH(A350)=3,MONTH(A350)=4,MONTH(A350)=10,MONTH(A350)=11,AND(MONTH(A350)=12,DAY(A350)&lt;=15)),"Nebensaison","Hauptsaison"))))</x:f>
        <x:v>Nebensaison</x:v>
      </x:c>
      <x:c r="C350" s="122" t="str">
        <x:f>IF(A350="","",IF(WEEKDAY(A350,2)&gt;=6,"Wochenende","Unterwoche"))</x:f>
        <x:v>Wochenende</x:v>
      </x:c>
      <x:c r="D350" s="123" t="n">
        <x:f>IF(A350="","",IF(N350&lt;&gt;"",N350,IF(B350="Nebensaison",IF(C350="Wochenende",'00_Eingabe'!$C$24,'00_Eingabe'!$B$24),IF(B350="Hauptsaison",IF(C350="Wochenende",'00_Eingabe'!$C$25,'00_Eingabe'!$B$25),IF(B350="Weihnachten",IF(C350="Wochenende",'00_Eingabe'!$C$26,'00_Eingabe'!$B$26),IF(C350="Wochenende",'00_Eingabe'!$C$27,'00_Eingabe'!$B$27))))))</x:f>
        <x:v>0.75</x:v>
      </x:c>
      <x:c r="E350" s="122" t="n">
        <x:f>IF(OR(A350="",D350=""),"",ROUND('00_Eingabe'!$B$8*D350,0))</x:f>
        <x:v>26</x:v>
      </x:c>
      <x:c r="F350" s="122" t="n">
        <x:f>IF(E350="","",ROUND(E350*'00_Eingabe'!$B$18,0))</x:f>
        <x:v>49</x:v>
      </x:c>
      <x:c r="G350" s="123" t="n">
        <x:f>IF(A350="","",IF(O350&lt;&gt;"",O350,IF(B350="Nebensaison",IF(C350="Wochenende",'00_Eingabe'!$E$24,'00_Eingabe'!$D$24),IF(B350="Hauptsaison",IF(C350="Wochenende",'00_Eingabe'!$E$25,'00_Eingabe'!$D$25),IF(B350="Weihnachten",IF(C350="Wochenende",'00_Eingabe'!$E$26,'00_Eingabe'!$D$26),IF(C350="Wochenende",'00_Eingabe'!$E$27,'00_Eingabe'!$D$27))))))</x:f>
        <x:v>0.75</x:v>
      </x:c>
      <x:c r="H350" s="122" t="n">
        <x:f>IF(OR(A350="",G350=""),"",ROUND('00_Eingabe'!$B$9*G350,0))</x:f>
        <x:v>3</x:v>
      </x:c>
      <x:c r="I350" s="122" t="n">
        <x:f>IF(H350="","",ROUND(H350*'00_Eingabe'!$B$19,0))</x:f>
        <x:v>7</x:v>
      </x:c>
      <x:c r="J350" s="122" t="n">
        <x:f>IF(OR(F350="",I350=""),"",F350+I350)</x:f>
        <x:v>56</x:v>
      </x:c>
      <x:c r="K350" s="122" t="n">
        <x:f>IF(J350="","",ROUND(J350*'00_Eingabe'!$B$16*(1+'00_Eingabe'!$B$14),0))</x:f>
        <x:v>64</x:v>
      </x:c>
      <x:c r="L350" s="122" t="n">
        <x:f>IF(B350="Betriebsferien",0,ROUND(J350*'00_Eingabe'!$B$40,0)+IF(C350="Wochenende",'00_Eingabe'!$B$42,'00_Eingabe'!$B$41))</x:f>
        <x:v>80</x:v>
      </x:c>
      <x:c r="M350" s="123" t="n">
        <x:f>IF(J350="","",ROUND(J350*'00_Eingabe'!$B$17*(1+'00_Eingabe'!$B$15),0))</x:f>
        <x:v>64</x:v>
      </x:c>
      <x:c r="N350" s="106"/>
      <x:c r="O350" s="106"/>
      <x:c r="P350" s="116"/>
      <x:c r="Q350" s="213" t="n">
        <x:f>IF(C350="Wochenende",1,0)</x:f>
        <x:v>1</x:v>
      </x:c>
      <x:c r="R350" s="213" t="n">
        <x:f>IF(AND(B350&lt;&gt;"Betriebsferien",OR(WEEKDAY(A350,2)=2,WEEKDAY(A350,2)=4)),1,0)</x:f>
        <x:v>0</x:v>
      </x:c>
      <x:c r="S350" s="214" t="n">
        <x:f>R350*MIN(1,'00_Eingabe'!$B$62/'00_Eingabe'!$B$61)</x:f>
        <x:v>0</x:v>
      </x:c>
      <x:c r="T350" s="213" t="n">
        <x:f>IF(B350="Betriebsferien",0,IF(B350="Nebensaison",IF(OR(WEEKDAY(A350,2)=1,WEEKDAY(A350,2)=3,WEEKDAY(A350,2)=5),1,0),IF(C350="Unterwoche",1,0)))</x:f>
        <x:v>0</x:v>
      </x:c>
      <x:c r="U350" s="213" t="n">
        <x:f>IF(B350="Betriebsferien",0,'00_Eingabe'!$G$24)</x:f>
        <x:v>8</x:v>
      </x:c>
    </x:row>
    <x:row r="351">
      <x:c r="A351" s="121" t="n">
        <x:f>IF(ROW()-4&lt;DATE('00_Eingabe'!$B$7+1,1,1)-DATE('00_Eingabe'!$B$7,1,1),DATE('00_Eingabe'!$B$7,1,1)+ROW()-4,"")</x:f>
        <x:v>46005</x:v>
      </x:c>
      <x:c r="B351" s="122" t="str">
        <x:f>IF(A351="","",IF(OR(AND(MONTH(A351)=12,DAY(A351)&gt;=20),AND(MONTH(A351)=1,DAY(A351)&lt;=2)),"Weihnachten",IF(OR(AND(MONTH(A351)=11,DAY(A351)&gt;=24),AND(MONTH(A351)=12,DAY(A351)&lt;=7)),"Betriebsferien",IF(OR(AND(MONTH(A351)=1,DAY(A351)&gt;=3),MONTH(A351)=2,MONTH(A351)=3,MONTH(A351)=4,MONTH(A351)=10,MONTH(A351)=11,AND(MONTH(A351)=12,DAY(A351)&lt;=15)),"Nebensaison","Hauptsaison"))))</x:f>
        <x:v>Nebensaison</x:v>
      </x:c>
      <x:c r="C351" s="122" t="str">
        <x:f>IF(A351="","",IF(WEEKDAY(A351,2)&gt;=6,"Wochenende","Unterwoche"))</x:f>
        <x:v>Wochenende</x:v>
      </x:c>
      <x:c r="D351" s="123" t="n">
        <x:f>IF(A351="","",IF(N351&lt;&gt;"",N351,IF(B351="Nebensaison",IF(C351="Wochenende",'00_Eingabe'!$C$24,'00_Eingabe'!$B$24),IF(B351="Hauptsaison",IF(C351="Wochenende",'00_Eingabe'!$C$25,'00_Eingabe'!$B$25),IF(B351="Weihnachten",IF(C351="Wochenende",'00_Eingabe'!$C$26,'00_Eingabe'!$B$26),IF(C351="Wochenende",'00_Eingabe'!$C$27,'00_Eingabe'!$B$27))))))</x:f>
        <x:v>0.75</x:v>
      </x:c>
      <x:c r="E351" s="122" t="n">
        <x:f>IF(OR(A351="",D351=""),"",ROUND('00_Eingabe'!$B$8*D351,0))</x:f>
        <x:v>26</x:v>
      </x:c>
      <x:c r="F351" s="122" t="n">
        <x:f>IF(E351="","",ROUND(E351*'00_Eingabe'!$B$18,0))</x:f>
        <x:v>49</x:v>
      </x:c>
      <x:c r="G351" s="123" t="n">
        <x:f>IF(A351="","",IF(O351&lt;&gt;"",O351,IF(B351="Nebensaison",IF(C351="Wochenende",'00_Eingabe'!$E$24,'00_Eingabe'!$D$24),IF(B351="Hauptsaison",IF(C351="Wochenende",'00_Eingabe'!$E$25,'00_Eingabe'!$D$25),IF(B351="Weihnachten",IF(C351="Wochenende",'00_Eingabe'!$E$26,'00_Eingabe'!$D$26),IF(C351="Wochenende",'00_Eingabe'!$E$27,'00_Eingabe'!$D$27))))))</x:f>
        <x:v>0.75</x:v>
      </x:c>
      <x:c r="H351" s="122" t="n">
        <x:f>IF(OR(A351="",G351=""),"",ROUND('00_Eingabe'!$B$9*G351,0))</x:f>
        <x:v>3</x:v>
      </x:c>
      <x:c r="I351" s="122" t="n">
        <x:f>IF(H351="","",ROUND(H351*'00_Eingabe'!$B$19,0))</x:f>
        <x:v>7</x:v>
      </x:c>
      <x:c r="J351" s="122" t="n">
        <x:f>IF(OR(F351="",I351=""),"",F351+I351)</x:f>
        <x:v>56</x:v>
      </x:c>
      <x:c r="K351" s="122" t="n">
        <x:f>IF(J351="","",ROUND(J351*'00_Eingabe'!$B$16*(1+'00_Eingabe'!$B$14),0))</x:f>
        <x:v>64</x:v>
      </x:c>
      <x:c r="L351" s="122" t="n">
        <x:f>IF(B351="Betriebsferien",0,ROUND(J351*'00_Eingabe'!$B$40,0)+IF(C351="Wochenende",'00_Eingabe'!$B$42,'00_Eingabe'!$B$41))</x:f>
        <x:v>80</x:v>
      </x:c>
      <x:c r="M351" s="123" t="n">
        <x:f>IF(J351="","",ROUND(J351*'00_Eingabe'!$B$17*(1+'00_Eingabe'!$B$15),0))</x:f>
        <x:v>64</x:v>
      </x:c>
      <x:c r="N351" s="106"/>
      <x:c r="O351" s="106"/>
      <x:c r="P351" s="116"/>
      <x:c r="Q351" s="213" t="n">
        <x:f>IF(C351="Wochenende",1,0)</x:f>
        <x:v>1</x:v>
      </x:c>
      <x:c r="R351" s="213" t="n">
        <x:f>IF(AND(B351&lt;&gt;"Betriebsferien",OR(WEEKDAY(A351,2)=2,WEEKDAY(A351,2)=4)),1,0)</x:f>
        <x:v>0</x:v>
      </x:c>
      <x:c r="S351" s="214" t="n">
        <x:f>R351*MIN(1,'00_Eingabe'!$B$62/'00_Eingabe'!$B$61)</x:f>
        <x:v>0</x:v>
      </x:c>
      <x:c r="T351" s="213" t="n">
        <x:f>IF(B351="Betriebsferien",0,IF(B351="Nebensaison",IF(OR(WEEKDAY(A351,2)=1,WEEKDAY(A351,2)=3,WEEKDAY(A351,2)=5),1,0),IF(C351="Unterwoche",1,0)))</x:f>
        <x:v>0</x:v>
      </x:c>
      <x:c r="U351" s="213" t="n">
        <x:f>IF(B351="Betriebsferien",0,'00_Eingabe'!$G$24)</x:f>
        <x:v>8</x:v>
      </x:c>
    </x:row>
    <x:row r="352">
      <x:c r="A352" s="121" t="n">
        <x:f>IF(ROW()-4&lt;DATE('00_Eingabe'!$B$7+1,1,1)-DATE('00_Eingabe'!$B$7,1,1),DATE('00_Eingabe'!$B$7,1,1)+ROW()-4,"")</x:f>
        <x:v>46006</x:v>
      </x:c>
      <x:c r="B352" s="122" t="str">
        <x:f>IF(A352="","",IF(OR(AND(MONTH(A352)=12,DAY(A352)&gt;=20),AND(MONTH(A352)=1,DAY(A352)&lt;=2)),"Weihnachten",IF(OR(AND(MONTH(A352)=11,DAY(A352)&gt;=24),AND(MONTH(A352)=12,DAY(A352)&lt;=7)),"Betriebsferien",IF(OR(AND(MONTH(A352)=1,DAY(A352)&gt;=3),MONTH(A352)=2,MONTH(A352)=3,MONTH(A352)=4,MONTH(A352)=10,MONTH(A352)=11,AND(MONTH(A352)=12,DAY(A352)&lt;=15)),"Nebensaison","Hauptsaison"))))</x:f>
        <x:v>Nebensaison</x:v>
      </x:c>
      <x:c r="C352" s="122" t="str">
        <x:f>IF(A352="","",IF(WEEKDAY(A352,2)&gt;=6,"Wochenende","Unterwoche"))</x:f>
        <x:v>Unterwoche</x:v>
      </x:c>
      <x:c r="D352" s="123" t="n">
        <x:f>IF(A352="","",IF(N352&lt;&gt;"",N352,IF(B352="Nebensaison",IF(C352="Wochenende",'00_Eingabe'!$C$24,'00_Eingabe'!$B$24),IF(B352="Hauptsaison",IF(C352="Wochenende",'00_Eingabe'!$C$25,'00_Eingabe'!$B$25),IF(B352="Weihnachten",IF(C352="Wochenende",'00_Eingabe'!$C$26,'00_Eingabe'!$B$26),IF(C352="Wochenende",'00_Eingabe'!$C$27,'00_Eingabe'!$B$27))))))</x:f>
        <x:v>0.7</x:v>
      </x:c>
      <x:c r="E352" s="122" t="n">
        <x:f>IF(OR(A352="",D352=""),"",ROUND('00_Eingabe'!$B$8*D352,0))</x:f>
        <x:v>25</x:v>
      </x:c>
      <x:c r="F352" s="122" t="n">
        <x:f>IF(E352="","",ROUND(E352*'00_Eingabe'!$B$18,0))</x:f>
        <x:v>48</x:v>
      </x:c>
      <x:c r="G352" s="123" t="n">
        <x:f>IF(A352="","",IF(O352&lt;&gt;"",O352,IF(B352="Nebensaison",IF(C352="Wochenende",'00_Eingabe'!$E$24,'00_Eingabe'!$D$24),IF(B352="Hauptsaison",IF(C352="Wochenende",'00_Eingabe'!$E$25,'00_Eingabe'!$D$25),IF(B352="Weihnachten",IF(C352="Wochenende",'00_Eingabe'!$E$26,'00_Eingabe'!$D$26),IF(C352="Wochenende",'00_Eingabe'!$E$27,'00_Eingabe'!$D$27))))))</x:f>
        <x:v>0.7</x:v>
      </x:c>
      <x:c r="H352" s="122" t="n">
        <x:f>IF(OR(A352="",G352=""),"",ROUND('00_Eingabe'!$B$9*G352,0))</x:f>
        <x:v>3</x:v>
      </x:c>
      <x:c r="I352" s="122" t="n">
        <x:f>IF(H352="","",ROUND(H352*'00_Eingabe'!$B$19,0))</x:f>
        <x:v>7</x:v>
      </x:c>
      <x:c r="J352" s="122" t="n">
        <x:f>IF(OR(F352="",I352=""),"",F352+I352)</x:f>
        <x:v>55</x:v>
      </x:c>
      <x:c r="K352" s="122" t="n">
        <x:f>IF(J352="","",ROUND(J352*'00_Eingabe'!$B$16*(1+'00_Eingabe'!$B$14),0))</x:f>
        <x:v>63</x:v>
      </x:c>
      <x:c r="L352" s="122" t="n">
        <x:f>IF(B352="Betriebsferien",0,ROUND(J352*'00_Eingabe'!$B$40,0)+IF(C352="Wochenende",'00_Eingabe'!$B$42,'00_Eingabe'!$B$41))</x:f>
        <x:v>55</x:v>
      </x:c>
      <x:c r="M352" s="123" t="n">
        <x:f>IF(J352="","",ROUND(J352*'00_Eingabe'!$B$17*(1+'00_Eingabe'!$B$15),0))</x:f>
        <x:v>63</x:v>
      </x:c>
      <x:c r="N352" s="106"/>
      <x:c r="O352" s="106"/>
      <x:c r="P352" s="116"/>
      <x:c r="Q352" s="213" t="n">
        <x:f>IF(C352="Wochenende",1,0)</x:f>
        <x:v>0</x:v>
      </x:c>
      <x:c r="R352" s="213" t="n">
        <x:f>IF(AND(B352&lt;&gt;"Betriebsferien",OR(WEEKDAY(A352,2)=2,WEEKDAY(A352,2)=4)),1,0)</x:f>
        <x:v>0</x:v>
      </x:c>
      <x:c r="S352" s="214" t="n">
        <x:f>R352*MIN(1,'00_Eingabe'!$B$62/'00_Eingabe'!$B$61)</x:f>
        <x:v>0</x:v>
      </x:c>
      <x:c r="T352" s="213" t="n">
        <x:f>IF(B352="Betriebsferien",0,IF(B352="Nebensaison",IF(OR(WEEKDAY(A352,2)=1,WEEKDAY(A352,2)=3,WEEKDAY(A352,2)=5),1,0),IF(C352="Unterwoche",1,0)))</x:f>
        <x:v>1</x:v>
      </x:c>
      <x:c r="U352" s="213" t="n">
        <x:f>IF(B352="Betriebsferien",0,'00_Eingabe'!$G$24)</x:f>
        <x:v>8</x:v>
      </x:c>
    </x:row>
    <x:row r="353">
      <x:c r="A353" s="121" t="n">
        <x:f>IF(ROW()-4&lt;DATE('00_Eingabe'!$B$7+1,1,1)-DATE('00_Eingabe'!$B$7,1,1),DATE('00_Eingabe'!$B$7,1,1)+ROW()-4,"")</x:f>
        <x:v>46007</x:v>
      </x:c>
      <x:c r="B353" s="122" t="str">
        <x:f>IF(A353="","",IF(OR(AND(MONTH(A353)=12,DAY(A353)&gt;=20),AND(MONTH(A353)=1,DAY(A353)&lt;=2)),"Weihnachten",IF(OR(AND(MONTH(A353)=11,DAY(A353)&gt;=24),AND(MONTH(A353)=12,DAY(A353)&lt;=7)),"Betriebsferien",IF(OR(AND(MONTH(A353)=1,DAY(A353)&gt;=3),MONTH(A353)=2,MONTH(A353)=3,MONTH(A353)=4,MONTH(A353)=10,MONTH(A353)=11,AND(MONTH(A353)=12,DAY(A353)&lt;=15)),"Nebensaison","Hauptsaison"))))</x:f>
        <x:v>Hauptsaison</x:v>
      </x:c>
      <x:c r="C353" s="122" t="str">
        <x:f>IF(A353="","",IF(WEEKDAY(A353,2)&gt;=6,"Wochenende","Unterwoche"))</x:f>
        <x:v>Unterwoche</x:v>
      </x:c>
      <x:c r="D353" s="123" t="n">
        <x:f>IF(A353="","",IF(N353&lt;&gt;"",N353,IF(B353="Nebensaison",IF(C353="Wochenende",'00_Eingabe'!$C$24,'00_Eingabe'!$B$24),IF(B353="Hauptsaison",IF(C353="Wochenende",'00_Eingabe'!$C$25,'00_Eingabe'!$B$25),IF(B353="Weihnachten",IF(C353="Wochenende",'00_Eingabe'!$C$26,'00_Eingabe'!$B$26),IF(C353="Wochenende",'00_Eingabe'!$C$27,'00_Eingabe'!$B$27))))))</x:f>
        <x:v>0.85</x:v>
      </x:c>
      <x:c r="E353" s="122" t="n">
        <x:f>IF(OR(A353="",D353=""),"",ROUND('00_Eingabe'!$B$8*D353,0))</x:f>
        <x:v>30</x:v>
      </x:c>
      <x:c r="F353" s="122" t="n">
        <x:f>IF(E353="","",ROUND(E353*'00_Eingabe'!$B$18,0))</x:f>
        <x:v>57</x:v>
      </x:c>
      <x:c r="G353" s="123" t="n">
        <x:f>IF(A353="","",IF(O353&lt;&gt;"",O353,IF(B353="Nebensaison",IF(C353="Wochenende",'00_Eingabe'!$E$24,'00_Eingabe'!$D$24),IF(B353="Hauptsaison",IF(C353="Wochenende",'00_Eingabe'!$E$25,'00_Eingabe'!$D$25),IF(B353="Weihnachten",IF(C353="Wochenende",'00_Eingabe'!$E$26,'00_Eingabe'!$D$26),IF(C353="Wochenende",'00_Eingabe'!$E$27,'00_Eingabe'!$D$27))))))</x:f>
        <x:v>0.85</x:v>
      </x:c>
      <x:c r="H353" s="122" t="n">
        <x:f>IF(OR(A353="",G353=""),"",ROUND('00_Eingabe'!$B$9*G353,0))</x:f>
        <x:v>3</x:v>
      </x:c>
      <x:c r="I353" s="122" t="n">
        <x:f>IF(H353="","",ROUND(H353*'00_Eingabe'!$B$19,0))</x:f>
        <x:v>7</x:v>
      </x:c>
      <x:c r="J353" s="122" t="n">
        <x:f>IF(OR(F353="",I353=""),"",F353+I353)</x:f>
        <x:v>64</x:v>
      </x:c>
      <x:c r="K353" s="122" t="n">
        <x:f>IF(J353="","",ROUND(J353*'00_Eingabe'!$B$16*(1+'00_Eingabe'!$B$14),0))</x:f>
        <x:v>74</x:v>
      </x:c>
      <x:c r="L353" s="122" t="n">
        <x:f>IF(B353="Betriebsferien",0,ROUND(J353*'00_Eingabe'!$B$40,0)+IF(C353="Wochenende",'00_Eingabe'!$B$42,'00_Eingabe'!$B$41))</x:f>
        <x:v>63</x:v>
      </x:c>
      <x:c r="M353" s="123" t="n">
        <x:f>IF(J353="","",ROUND(J353*'00_Eingabe'!$B$17*(1+'00_Eingabe'!$B$15),0))</x:f>
        <x:v>74</x:v>
      </x:c>
      <x:c r="N353" s="106"/>
      <x:c r="O353" s="106"/>
      <x:c r="P353" s="116"/>
      <x:c r="Q353" s="213" t="n">
        <x:f>IF(C353="Wochenende",1,0)</x:f>
        <x:v>0</x:v>
      </x:c>
      <x:c r="R353" s="213" t="n">
        <x:f>IF(AND(B353&lt;&gt;"Betriebsferien",OR(WEEKDAY(A353,2)=2,WEEKDAY(A353,2)=4)),1,0)</x:f>
        <x:v>1</x:v>
      </x:c>
      <x:c r="S353" s="214" t="n">
        <x:f>R353*MIN(1,'00_Eingabe'!$B$62/'00_Eingabe'!$B$61)</x:f>
        <x:v>0.5</x:v>
      </x:c>
      <x:c r="T353" s="213" t="n">
        <x:f>IF(B353="Betriebsferien",0,IF(B353="Nebensaison",IF(OR(WEEKDAY(A353,2)=1,WEEKDAY(A353,2)=3,WEEKDAY(A353,2)=5),1,0),IF(C353="Unterwoche",1,0)))</x:f>
        <x:v>1</x:v>
      </x:c>
      <x:c r="U353" s="213" t="n">
        <x:f>IF(B353="Betriebsferien",0,'00_Eingabe'!$G$24)</x:f>
        <x:v>8</x:v>
      </x:c>
    </x:row>
    <x:row r="354">
      <x:c r="A354" s="121" t="n">
        <x:f>IF(ROW()-4&lt;DATE('00_Eingabe'!$B$7+1,1,1)-DATE('00_Eingabe'!$B$7,1,1),DATE('00_Eingabe'!$B$7,1,1)+ROW()-4,"")</x:f>
        <x:v>46008</x:v>
      </x:c>
      <x:c r="B354" s="122" t="str">
        <x:f>IF(A354="","",IF(OR(AND(MONTH(A354)=12,DAY(A354)&gt;=20),AND(MONTH(A354)=1,DAY(A354)&lt;=2)),"Weihnachten",IF(OR(AND(MONTH(A354)=11,DAY(A354)&gt;=24),AND(MONTH(A354)=12,DAY(A354)&lt;=7)),"Betriebsferien",IF(OR(AND(MONTH(A354)=1,DAY(A354)&gt;=3),MONTH(A354)=2,MONTH(A354)=3,MONTH(A354)=4,MONTH(A354)=10,MONTH(A354)=11,AND(MONTH(A354)=12,DAY(A354)&lt;=15)),"Nebensaison","Hauptsaison"))))</x:f>
        <x:v>Hauptsaison</x:v>
      </x:c>
      <x:c r="C354" s="122" t="str">
        <x:f>IF(A354="","",IF(WEEKDAY(A354,2)&gt;=6,"Wochenende","Unterwoche"))</x:f>
        <x:v>Unterwoche</x:v>
      </x:c>
      <x:c r="D354" s="123" t="n">
        <x:f>IF(A354="","",IF(N354&lt;&gt;"",N354,IF(B354="Nebensaison",IF(C354="Wochenende",'00_Eingabe'!$C$24,'00_Eingabe'!$B$24),IF(B354="Hauptsaison",IF(C354="Wochenende",'00_Eingabe'!$C$25,'00_Eingabe'!$B$25),IF(B354="Weihnachten",IF(C354="Wochenende",'00_Eingabe'!$C$26,'00_Eingabe'!$B$26),IF(C354="Wochenende",'00_Eingabe'!$C$27,'00_Eingabe'!$B$27))))))</x:f>
        <x:v>0.85</x:v>
      </x:c>
      <x:c r="E354" s="122" t="n">
        <x:f>IF(OR(A354="",D354=""),"",ROUND('00_Eingabe'!$B$8*D354,0))</x:f>
        <x:v>30</x:v>
      </x:c>
      <x:c r="F354" s="122" t="n">
        <x:f>IF(E354="","",ROUND(E354*'00_Eingabe'!$B$18,0))</x:f>
        <x:v>57</x:v>
      </x:c>
      <x:c r="G354" s="123" t="n">
        <x:f>IF(A354="","",IF(O354&lt;&gt;"",O354,IF(B354="Nebensaison",IF(C354="Wochenende",'00_Eingabe'!$E$24,'00_Eingabe'!$D$24),IF(B354="Hauptsaison",IF(C354="Wochenende",'00_Eingabe'!$E$25,'00_Eingabe'!$D$25),IF(B354="Weihnachten",IF(C354="Wochenende",'00_Eingabe'!$E$26,'00_Eingabe'!$D$26),IF(C354="Wochenende",'00_Eingabe'!$E$27,'00_Eingabe'!$D$27))))))</x:f>
        <x:v>0.85</x:v>
      </x:c>
      <x:c r="H354" s="122" t="n">
        <x:f>IF(OR(A354="",G354=""),"",ROUND('00_Eingabe'!$B$9*G354,0))</x:f>
        <x:v>3</x:v>
      </x:c>
      <x:c r="I354" s="122" t="n">
        <x:f>IF(H354="","",ROUND(H354*'00_Eingabe'!$B$19,0))</x:f>
        <x:v>7</x:v>
      </x:c>
      <x:c r="J354" s="122" t="n">
        <x:f>IF(OR(F354="",I354=""),"",F354+I354)</x:f>
        <x:v>64</x:v>
      </x:c>
      <x:c r="K354" s="122" t="n">
        <x:f>IF(J354="","",ROUND(J354*'00_Eingabe'!$B$16*(1+'00_Eingabe'!$B$14),0))</x:f>
        <x:v>74</x:v>
      </x:c>
      <x:c r="L354" s="122" t="n">
        <x:f>IF(B354="Betriebsferien",0,ROUND(J354*'00_Eingabe'!$B$40,0)+IF(C354="Wochenende",'00_Eingabe'!$B$42,'00_Eingabe'!$B$41))</x:f>
        <x:v>63</x:v>
      </x:c>
      <x:c r="M354" s="123" t="n">
        <x:f>IF(J354="","",ROUND(J354*'00_Eingabe'!$B$17*(1+'00_Eingabe'!$B$15),0))</x:f>
        <x:v>74</x:v>
      </x:c>
      <x:c r="N354" s="106"/>
      <x:c r="O354" s="106"/>
      <x:c r="P354" s="116"/>
      <x:c r="Q354" s="213" t="n">
        <x:f>IF(C354="Wochenende",1,0)</x:f>
        <x:v>0</x:v>
      </x:c>
      <x:c r="R354" s="213" t="n">
        <x:f>IF(AND(B354&lt;&gt;"Betriebsferien",OR(WEEKDAY(A354,2)=2,WEEKDAY(A354,2)=4)),1,0)</x:f>
        <x:v>0</x:v>
      </x:c>
      <x:c r="S354" s="214" t="n">
        <x:f>R354*MIN(1,'00_Eingabe'!$B$62/'00_Eingabe'!$B$61)</x:f>
        <x:v>0</x:v>
      </x:c>
      <x:c r="T354" s="213" t="n">
        <x:f>IF(B354="Betriebsferien",0,IF(B354="Nebensaison",IF(OR(WEEKDAY(A354,2)=1,WEEKDAY(A354,2)=3,WEEKDAY(A354,2)=5),1,0),IF(C354="Unterwoche",1,0)))</x:f>
        <x:v>1</x:v>
      </x:c>
      <x:c r="U354" s="213" t="n">
        <x:f>IF(B354="Betriebsferien",0,'00_Eingabe'!$G$24)</x:f>
        <x:v>8</x:v>
      </x:c>
    </x:row>
    <x:row r="355">
      <x:c r="A355" s="121" t="n">
        <x:f>IF(ROW()-4&lt;DATE('00_Eingabe'!$B$7+1,1,1)-DATE('00_Eingabe'!$B$7,1,1),DATE('00_Eingabe'!$B$7,1,1)+ROW()-4,"")</x:f>
        <x:v>46009</x:v>
      </x:c>
      <x:c r="B355" s="122" t="str">
        <x:f>IF(A355="","",IF(OR(AND(MONTH(A355)=12,DAY(A355)&gt;=20),AND(MONTH(A355)=1,DAY(A355)&lt;=2)),"Weihnachten",IF(OR(AND(MONTH(A355)=11,DAY(A355)&gt;=24),AND(MONTH(A355)=12,DAY(A355)&lt;=7)),"Betriebsferien",IF(OR(AND(MONTH(A355)=1,DAY(A355)&gt;=3),MONTH(A355)=2,MONTH(A355)=3,MONTH(A355)=4,MONTH(A355)=10,MONTH(A355)=11,AND(MONTH(A355)=12,DAY(A355)&lt;=15)),"Nebensaison","Hauptsaison"))))</x:f>
        <x:v>Hauptsaison</x:v>
      </x:c>
      <x:c r="C355" s="122" t="str">
        <x:f>IF(A355="","",IF(WEEKDAY(A355,2)&gt;=6,"Wochenende","Unterwoche"))</x:f>
        <x:v>Unterwoche</x:v>
      </x:c>
      <x:c r="D355" s="123" t="n">
        <x:f>IF(A355="","",IF(N355&lt;&gt;"",N355,IF(B355="Nebensaison",IF(C355="Wochenende",'00_Eingabe'!$C$24,'00_Eingabe'!$B$24),IF(B355="Hauptsaison",IF(C355="Wochenende",'00_Eingabe'!$C$25,'00_Eingabe'!$B$25),IF(B355="Weihnachten",IF(C355="Wochenende",'00_Eingabe'!$C$26,'00_Eingabe'!$B$26),IF(C355="Wochenende",'00_Eingabe'!$C$27,'00_Eingabe'!$B$27))))))</x:f>
        <x:v>0.85</x:v>
      </x:c>
      <x:c r="E355" s="122" t="n">
        <x:f>IF(OR(A355="",D355=""),"",ROUND('00_Eingabe'!$B$8*D355,0))</x:f>
        <x:v>30</x:v>
      </x:c>
      <x:c r="F355" s="122" t="n">
        <x:f>IF(E355="","",ROUND(E355*'00_Eingabe'!$B$18,0))</x:f>
        <x:v>57</x:v>
      </x:c>
      <x:c r="G355" s="123" t="n">
        <x:f>IF(A355="","",IF(O355&lt;&gt;"",O355,IF(B355="Nebensaison",IF(C355="Wochenende",'00_Eingabe'!$E$24,'00_Eingabe'!$D$24),IF(B355="Hauptsaison",IF(C355="Wochenende",'00_Eingabe'!$E$25,'00_Eingabe'!$D$25),IF(B355="Weihnachten",IF(C355="Wochenende",'00_Eingabe'!$E$26,'00_Eingabe'!$D$26),IF(C355="Wochenende",'00_Eingabe'!$E$27,'00_Eingabe'!$D$27))))))</x:f>
        <x:v>0.85</x:v>
      </x:c>
      <x:c r="H355" s="122" t="n">
        <x:f>IF(OR(A355="",G355=""),"",ROUND('00_Eingabe'!$B$9*G355,0))</x:f>
        <x:v>3</x:v>
      </x:c>
      <x:c r="I355" s="122" t="n">
        <x:f>IF(H355="","",ROUND(H355*'00_Eingabe'!$B$19,0))</x:f>
        <x:v>7</x:v>
      </x:c>
      <x:c r="J355" s="122" t="n">
        <x:f>IF(OR(F355="",I355=""),"",F355+I355)</x:f>
        <x:v>64</x:v>
      </x:c>
      <x:c r="K355" s="122" t="n">
        <x:f>IF(J355="","",ROUND(J355*'00_Eingabe'!$B$16*(1+'00_Eingabe'!$B$14),0))</x:f>
        <x:v>74</x:v>
      </x:c>
      <x:c r="L355" s="122" t="n">
        <x:f>IF(B355="Betriebsferien",0,ROUND(J355*'00_Eingabe'!$B$40,0)+IF(C355="Wochenende",'00_Eingabe'!$B$42,'00_Eingabe'!$B$41))</x:f>
        <x:v>63</x:v>
      </x:c>
      <x:c r="M355" s="123" t="n">
        <x:f>IF(J355="","",ROUND(J355*'00_Eingabe'!$B$17*(1+'00_Eingabe'!$B$15),0))</x:f>
        <x:v>74</x:v>
      </x:c>
      <x:c r="N355" s="106"/>
      <x:c r="O355" s="106"/>
      <x:c r="P355" s="116"/>
      <x:c r="Q355" s="213" t="n">
        <x:f>IF(C355="Wochenende",1,0)</x:f>
        <x:v>0</x:v>
      </x:c>
      <x:c r="R355" s="213" t="n">
        <x:f>IF(AND(B355&lt;&gt;"Betriebsferien",OR(WEEKDAY(A355,2)=2,WEEKDAY(A355,2)=4)),1,0)</x:f>
        <x:v>1</x:v>
      </x:c>
      <x:c r="S355" s="214" t="n">
        <x:f>R355*MIN(1,'00_Eingabe'!$B$62/'00_Eingabe'!$B$61)</x:f>
        <x:v>0.5</x:v>
      </x:c>
      <x:c r="T355" s="213" t="n">
        <x:f>IF(B355="Betriebsferien",0,IF(B355="Nebensaison",IF(OR(WEEKDAY(A355,2)=1,WEEKDAY(A355,2)=3,WEEKDAY(A355,2)=5),1,0),IF(C355="Unterwoche",1,0)))</x:f>
        <x:v>1</x:v>
      </x:c>
      <x:c r="U355" s="213" t="n">
        <x:f>IF(B355="Betriebsferien",0,'00_Eingabe'!$G$24)</x:f>
        <x:v>8</x:v>
      </x:c>
    </x:row>
    <x:row r="356">
      <x:c r="A356" s="121" t="n">
        <x:f>IF(ROW()-4&lt;DATE('00_Eingabe'!$B$7+1,1,1)-DATE('00_Eingabe'!$B$7,1,1),DATE('00_Eingabe'!$B$7,1,1)+ROW()-4,"")</x:f>
        <x:v>46010</x:v>
      </x:c>
      <x:c r="B356" s="122" t="str">
        <x:f>IF(A356="","",IF(OR(AND(MONTH(A356)=12,DAY(A356)&gt;=20),AND(MONTH(A356)=1,DAY(A356)&lt;=2)),"Weihnachten",IF(OR(AND(MONTH(A356)=11,DAY(A356)&gt;=24),AND(MONTH(A356)=12,DAY(A356)&lt;=7)),"Betriebsferien",IF(OR(AND(MONTH(A356)=1,DAY(A356)&gt;=3),MONTH(A356)=2,MONTH(A356)=3,MONTH(A356)=4,MONTH(A356)=10,MONTH(A356)=11,AND(MONTH(A356)=12,DAY(A356)&lt;=15)),"Nebensaison","Hauptsaison"))))</x:f>
        <x:v>Hauptsaison</x:v>
      </x:c>
      <x:c r="C356" s="122" t="str">
        <x:f>IF(A356="","",IF(WEEKDAY(A356,2)&gt;=6,"Wochenende","Unterwoche"))</x:f>
        <x:v>Unterwoche</x:v>
      </x:c>
      <x:c r="D356" s="123" t="n">
        <x:f>IF(A356="","",IF(N356&lt;&gt;"",N356,IF(B356="Nebensaison",IF(C356="Wochenende",'00_Eingabe'!$C$24,'00_Eingabe'!$B$24),IF(B356="Hauptsaison",IF(C356="Wochenende",'00_Eingabe'!$C$25,'00_Eingabe'!$B$25),IF(B356="Weihnachten",IF(C356="Wochenende",'00_Eingabe'!$C$26,'00_Eingabe'!$B$26),IF(C356="Wochenende",'00_Eingabe'!$C$27,'00_Eingabe'!$B$27))))))</x:f>
        <x:v>0.85</x:v>
      </x:c>
      <x:c r="E356" s="122" t="n">
        <x:f>IF(OR(A356="",D356=""),"",ROUND('00_Eingabe'!$B$8*D356,0))</x:f>
        <x:v>30</x:v>
      </x:c>
      <x:c r="F356" s="122" t="n">
        <x:f>IF(E356="","",ROUND(E356*'00_Eingabe'!$B$18,0))</x:f>
        <x:v>57</x:v>
      </x:c>
      <x:c r="G356" s="123" t="n">
        <x:f>IF(A356="","",IF(O356&lt;&gt;"",O356,IF(B356="Nebensaison",IF(C356="Wochenende",'00_Eingabe'!$E$24,'00_Eingabe'!$D$24),IF(B356="Hauptsaison",IF(C356="Wochenende",'00_Eingabe'!$E$25,'00_Eingabe'!$D$25),IF(B356="Weihnachten",IF(C356="Wochenende",'00_Eingabe'!$E$26,'00_Eingabe'!$D$26),IF(C356="Wochenende",'00_Eingabe'!$E$27,'00_Eingabe'!$D$27))))))</x:f>
        <x:v>0.85</x:v>
      </x:c>
      <x:c r="H356" s="122" t="n">
        <x:f>IF(OR(A356="",G356=""),"",ROUND('00_Eingabe'!$B$9*G356,0))</x:f>
        <x:v>3</x:v>
      </x:c>
      <x:c r="I356" s="122" t="n">
        <x:f>IF(H356="","",ROUND(H356*'00_Eingabe'!$B$19,0))</x:f>
        <x:v>7</x:v>
      </x:c>
      <x:c r="J356" s="122" t="n">
        <x:f>IF(OR(F356="",I356=""),"",F356+I356)</x:f>
        <x:v>64</x:v>
      </x:c>
      <x:c r="K356" s="122" t="n">
        <x:f>IF(J356="","",ROUND(J356*'00_Eingabe'!$B$16*(1+'00_Eingabe'!$B$14),0))</x:f>
        <x:v>74</x:v>
      </x:c>
      <x:c r="L356" s="122" t="n">
        <x:f>IF(B356="Betriebsferien",0,ROUND(J356*'00_Eingabe'!$B$40,0)+IF(C356="Wochenende",'00_Eingabe'!$B$42,'00_Eingabe'!$B$41))</x:f>
        <x:v>63</x:v>
      </x:c>
      <x:c r="M356" s="123" t="n">
        <x:f>IF(J356="","",ROUND(J356*'00_Eingabe'!$B$17*(1+'00_Eingabe'!$B$15),0))</x:f>
        <x:v>74</x:v>
      </x:c>
      <x:c r="N356" s="106"/>
      <x:c r="O356" s="106"/>
      <x:c r="P356" s="116"/>
      <x:c r="Q356" s="213" t="n">
        <x:f>IF(C356="Wochenende",1,0)</x:f>
        <x:v>0</x:v>
      </x:c>
      <x:c r="R356" s="213" t="n">
        <x:f>IF(AND(B356&lt;&gt;"Betriebsferien",OR(WEEKDAY(A356,2)=2,WEEKDAY(A356,2)=4)),1,0)</x:f>
        <x:v>0</x:v>
      </x:c>
      <x:c r="S356" s="214" t="n">
        <x:f>R356*MIN(1,'00_Eingabe'!$B$62/'00_Eingabe'!$B$61)</x:f>
        <x:v>0</x:v>
      </x:c>
      <x:c r="T356" s="213" t="n">
        <x:f>IF(B356="Betriebsferien",0,IF(B356="Nebensaison",IF(OR(WEEKDAY(A356,2)=1,WEEKDAY(A356,2)=3,WEEKDAY(A356,2)=5),1,0),IF(C356="Unterwoche",1,0)))</x:f>
        <x:v>1</x:v>
      </x:c>
      <x:c r="U356" s="213" t="n">
        <x:f>IF(B356="Betriebsferien",0,'00_Eingabe'!$G$24)</x:f>
        <x:v>8</x:v>
      </x:c>
    </x:row>
    <x:row r="357">
      <x:c r="A357" s="121" t="n">
        <x:f>IF(ROW()-4&lt;DATE('00_Eingabe'!$B$7+1,1,1)-DATE('00_Eingabe'!$B$7,1,1),DATE('00_Eingabe'!$B$7,1,1)+ROW()-4,"")</x:f>
        <x:v>46011</x:v>
      </x:c>
      <x:c r="B357" s="122" t="str">
        <x:f>IF(A357="","",IF(OR(AND(MONTH(A357)=12,DAY(A357)&gt;=20),AND(MONTH(A357)=1,DAY(A357)&lt;=2)),"Weihnachten",IF(OR(AND(MONTH(A357)=11,DAY(A357)&gt;=24),AND(MONTH(A357)=12,DAY(A357)&lt;=7)),"Betriebsferien",IF(OR(AND(MONTH(A357)=1,DAY(A357)&gt;=3),MONTH(A357)=2,MONTH(A357)=3,MONTH(A357)=4,MONTH(A357)=10,MONTH(A357)=11,AND(MONTH(A357)=12,DAY(A357)&lt;=15)),"Nebensaison","Hauptsaison"))))</x:f>
        <x:v>Weihnachten</x:v>
      </x:c>
      <x:c r="C357" s="122" t="str">
        <x:f>IF(A357="","",IF(WEEKDAY(A357,2)&gt;=6,"Wochenende","Unterwoche"))</x:f>
        <x:v>Wochenende</x:v>
      </x:c>
      <x:c r="D357" s="123" t="n">
        <x:f>IF(A357="","",IF(N357&lt;&gt;"",N357,IF(B357="Nebensaison",IF(C357="Wochenende",'00_Eingabe'!$C$24,'00_Eingabe'!$B$24),IF(B357="Hauptsaison",IF(C357="Wochenende",'00_Eingabe'!$C$25,'00_Eingabe'!$B$25),IF(B357="Weihnachten",IF(C357="Wochenende",'00_Eingabe'!$C$26,'00_Eingabe'!$B$26),IF(C357="Wochenende",'00_Eingabe'!$C$27,'00_Eingabe'!$B$27))))))</x:f>
        <x:v>0.98</x:v>
      </x:c>
      <x:c r="E357" s="122" t="n">
        <x:f>IF(OR(A357="",D357=""),"",ROUND('00_Eingabe'!$B$8*D357,0))</x:f>
        <x:v>34</x:v>
      </x:c>
      <x:c r="F357" s="122" t="n">
        <x:f>IF(E357="","",ROUND(E357*'00_Eingabe'!$B$18,0))</x:f>
        <x:v>65</x:v>
      </x:c>
      <x:c r="G357" s="123" t="n">
        <x:f>IF(A357="","",IF(O357&lt;&gt;"",O357,IF(B357="Nebensaison",IF(C357="Wochenende",'00_Eingabe'!$E$24,'00_Eingabe'!$D$24),IF(B357="Hauptsaison",IF(C357="Wochenende",'00_Eingabe'!$E$25,'00_Eingabe'!$D$25),IF(B357="Weihnachten",IF(C357="Wochenende",'00_Eingabe'!$E$26,'00_Eingabe'!$D$26),IF(C357="Wochenende",'00_Eingabe'!$E$27,'00_Eingabe'!$D$27))))))</x:f>
        <x:v>0.98</x:v>
      </x:c>
      <x:c r="H357" s="122" t="n">
        <x:f>IF(OR(A357="",G357=""),"",ROUND('00_Eingabe'!$B$9*G357,0))</x:f>
        <x:v>4</x:v>
      </x:c>
      <x:c r="I357" s="122" t="n">
        <x:f>IF(H357="","",ROUND(H357*'00_Eingabe'!$B$19,0))</x:f>
        <x:v>9</x:v>
      </x:c>
      <x:c r="J357" s="122" t="n">
        <x:f>IF(OR(F357="",I357=""),"",F357+I357)</x:f>
        <x:v>74</x:v>
      </x:c>
      <x:c r="K357" s="122" t="n">
        <x:f>IF(J357="","",ROUND(J357*'00_Eingabe'!$B$16*(1+'00_Eingabe'!$B$14),0))</x:f>
        <x:v>85</x:v>
      </x:c>
      <x:c r="L357" s="122" t="n">
        <x:f>IF(B357="Betriebsferien",0,ROUND(J357*'00_Eingabe'!$B$40,0)+IF(C357="Wochenende",'00_Eingabe'!$B$42,'00_Eingabe'!$B$41))</x:f>
        <x:v>97</x:v>
      </x:c>
      <x:c r="M357" s="123" t="n">
        <x:f>IF(J357="","",ROUND(J357*'00_Eingabe'!$B$17*(1+'00_Eingabe'!$B$15),0))</x:f>
        <x:v>85</x:v>
      </x:c>
      <x:c r="N357" s="106"/>
      <x:c r="O357" s="106"/>
      <x:c r="P357" s="116"/>
      <x:c r="Q357" s="213" t="n">
        <x:f>IF(C357="Wochenende",1,0)</x:f>
        <x:v>1</x:v>
      </x:c>
      <x:c r="R357" s="213" t="n">
        <x:f>IF(AND(B357&lt;&gt;"Betriebsferien",OR(WEEKDAY(A357,2)=2,WEEKDAY(A357,2)=4)),1,0)</x:f>
        <x:v>0</x:v>
      </x:c>
      <x:c r="S357" s="214" t="n">
        <x:f>R357*MIN(1,'00_Eingabe'!$B$62/'00_Eingabe'!$B$61)</x:f>
        <x:v>0</x:v>
      </x:c>
      <x:c r="T357" s="213" t="n">
        <x:f>IF(B357="Betriebsferien",0,IF(B357="Nebensaison",IF(OR(WEEKDAY(A357,2)=1,WEEKDAY(A357,2)=3,WEEKDAY(A357,2)=5),1,0),IF(C357="Unterwoche",1,0)))</x:f>
        <x:v>0</x:v>
      </x:c>
      <x:c r="U357" s="213" t="n">
        <x:f>IF(B357="Betriebsferien",0,'00_Eingabe'!$G$24)</x:f>
        <x:v>8</x:v>
      </x:c>
    </x:row>
    <x:row r="358">
      <x:c r="A358" s="121" t="n">
        <x:f>IF(ROW()-4&lt;DATE('00_Eingabe'!$B$7+1,1,1)-DATE('00_Eingabe'!$B$7,1,1),DATE('00_Eingabe'!$B$7,1,1)+ROW()-4,"")</x:f>
        <x:v>46012</x:v>
      </x:c>
      <x:c r="B358" s="122" t="str">
        <x:f>IF(A358="","",IF(OR(AND(MONTH(A358)=12,DAY(A358)&gt;=20),AND(MONTH(A358)=1,DAY(A358)&lt;=2)),"Weihnachten",IF(OR(AND(MONTH(A358)=11,DAY(A358)&gt;=24),AND(MONTH(A358)=12,DAY(A358)&lt;=7)),"Betriebsferien",IF(OR(AND(MONTH(A358)=1,DAY(A358)&gt;=3),MONTH(A358)=2,MONTH(A358)=3,MONTH(A358)=4,MONTH(A358)=10,MONTH(A358)=11,AND(MONTH(A358)=12,DAY(A358)&lt;=15)),"Nebensaison","Hauptsaison"))))</x:f>
        <x:v>Weihnachten</x:v>
      </x:c>
      <x:c r="C358" s="122" t="str">
        <x:f>IF(A358="","",IF(WEEKDAY(A358,2)&gt;=6,"Wochenende","Unterwoche"))</x:f>
        <x:v>Wochenende</x:v>
      </x:c>
      <x:c r="D358" s="123" t="n">
        <x:f>IF(A358="","",IF(N358&lt;&gt;"",N358,IF(B358="Nebensaison",IF(C358="Wochenende",'00_Eingabe'!$C$24,'00_Eingabe'!$B$24),IF(B358="Hauptsaison",IF(C358="Wochenende",'00_Eingabe'!$C$25,'00_Eingabe'!$B$25),IF(B358="Weihnachten",IF(C358="Wochenende",'00_Eingabe'!$C$26,'00_Eingabe'!$B$26),IF(C358="Wochenende",'00_Eingabe'!$C$27,'00_Eingabe'!$B$27))))))</x:f>
        <x:v>0.98</x:v>
      </x:c>
      <x:c r="E358" s="122" t="n">
        <x:f>IF(OR(A358="",D358=""),"",ROUND('00_Eingabe'!$B$8*D358,0))</x:f>
        <x:v>34</x:v>
      </x:c>
      <x:c r="F358" s="122" t="n">
        <x:f>IF(E358="","",ROUND(E358*'00_Eingabe'!$B$18,0))</x:f>
        <x:v>65</x:v>
      </x:c>
      <x:c r="G358" s="123" t="n">
        <x:f>IF(A358="","",IF(O358&lt;&gt;"",O358,IF(B358="Nebensaison",IF(C358="Wochenende",'00_Eingabe'!$E$24,'00_Eingabe'!$D$24),IF(B358="Hauptsaison",IF(C358="Wochenende",'00_Eingabe'!$E$25,'00_Eingabe'!$D$25),IF(B358="Weihnachten",IF(C358="Wochenende",'00_Eingabe'!$E$26,'00_Eingabe'!$D$26),IF(C358="Wochenende",'00_Eingabe'!$E$27,'00_Eingabe'!$D$27))))))</x:f>
        <x:v>0.98</x:v>
      </x:c>
      <x:c r="H358" s="122" t="n">
        <x:f>IF(OR(A358="",G358=""),"",ROUND('00_Eingabe'!$B$9*G358,0))</x:f>
        <x:v>4</x:v>
      </x:c>
      <x:c r="I358" s="122" t="n">
        <x:f>IF(H358="","",ROUND(H358*'00_Eingabe'!$B$19,0))</x:f>
        <x:v>9</x:v>
      </x:c>
      <x:c r="J358" s="122" t="n">
        <x:f>IF(OR(F358="",I358=""),"",F358+I358)</x:f>
        <x:v>74</x:v>
      </x:c>
      <x:c r="K358" s="122" t="n">
        <x:f>IF(J358="","",ROUND(J358*'00_Eingabe'!$B$16*(1+'00_Eingabe'!$B$14),0))</x:f>
        <x:v>85</x:v>
      </x:c>
      <x:c r="L358" s="122" t="n">
        <x:f>IF(B358="Betriebsferien",0,ROUND(J358*'00_Eingabe'!$B$40,0)+IF(C358="Wochenende",'00_Eingabe'!$B$42,'00_Eingabe'!$B$41))</x:f>
        <x:v>97</x:v>
      </x:c>
      <x:c r="M358" s="123" t="n">
        <x:f>IF(J358="","",ROUND(J358*'00_Eingabe'!$B$17*(1+'00_Eingabe'!$B$15),0))</x:f>
        <x:v>85</x:v>
      </x:c>
      <x:c r="N358" s="106"/>
      <x:c r="O358" s="106"/>
      <x:c r="P358" s="116"/>
      <x:c r="Q358" s="213" t="n">
        <x:f>IF(C358="Wochenende",1,0)</x:f>
        <x:v>1</x:v>
      </x:c>
      <x:c r="R358" s="213" t="n">
        <x:f>IF(AND(B358&lt;&gt;"Betriebsferien",OR(WEEKDAY(A358,2)=2,WEEKDAY(A358,2)=4)),1,0)</x:f>
        <x:v>0</x:v>
      </x:c>
      <x:c r="S358" s="214" t="n">
        <x:f>R358*MIN(1,'00_Eingabe'!$B$62/'00_Eingabe'!$B$61)</x:f>
        <x:v>0</x:v>
      </x:c>
      <x:c r="T358" s="213" t="n">
        <x:f>IF(B358="Betriebsferien",0,IF(B358="Nebensaison",IF(OR(WEEKDAY(A358,2)=1,WEEKDAY(A358,2)=3,WEEKDAY(A358,2)=5),1,0),IF(C358="Unterwoche",1,0)))</x:f>
        <x:v>0</x:v>
      </x:c>
      <x:c r="U358" s="213" t="n">
        <x:f>IF(B358="Betriebsferien",0,'00_Eingabe'!$G$24)</x:f>
        <x:v>8</x:v>
      </x:c>
    </x:row>
    <x:row r="359">
      <x:c r="A359" s="121" t="n">
        <x:f>IF(ROW()-4&lt;DATE('00_Eingabe'!$B$7+1,1,1)-DATE('00_Eingabe'!$B$7,1,1),DATE('00_Eingabe'!$B$7,1,1)+ROW()-4,"")</x:f>
        <x:v>46013</x:v>
      </x:c>
      <x:c r="B359" s="122" t="str">
        <x:f>IF(A359="","",IF(OR(AND(MONTH(A359)=12,DAY(A359)&gt;=20),AND(MONTH(A359)=1,DAY(A359)&lt;=2)),"Weihnachten",IF(OR(AND(MONTH(A359)=11,DAY(A359)&gt;=24),AND(MONTH(A359)=12,DAY(A359)&lt;=7)),"Betriebsferien",IF(OR(AND(MONTH(A359)=1,DAY(A359)&gt;=3),MONTH(A359)=2,MONTH(A359)=3,MONTH(A359)=4,MONTH(A359)=10,MONTH(A359)=11,AND(MONTH(A359)=12,DAY(A359)&lt;=15)),"Nebensaison","Hauptsaison"))))</x:f>
        <x:v>Weihnachten</x:v>
      </x:c>
      <x:c r="C359" s="122" t="str">
        <x:f>IF(A359="","",IF(WEEKDAY(A359,2)&gt;=6,"Wochenende","Unterwoche"))</x:f>
        <x:v>Unterwoche</x:v>
      </x:c>
      <x:c r="D359" s="123" t="n">
        <x:f>IF(A359="","",IF(N359&lt;&gt;"",N359,IF(B359="Nebensaison",IF(C359="Wochenende",'00_Eingabe'!$C$24,'00_Eingabe'!$B$24),IF(B359="Hauptsaison",IF(C359="Wochenende",'00_Eingabe'!$C$25,'00_Eingabe'!$B$25),IF(B359="Weihnachten",IF(C359="Wochenende",'00_Eingabe'!$C$26,'00_Eingabe'!$B$26),IF(C359="Wochenende",'00_Eingabe'!$C$27,'00_Eingabe'!$B$27))))))</x:f>
        <x:v>0.98</x:v>
      </x:c>
      <x:c r="E359" s="122" t="n">
        <x:f>IF(OR(A359="",D359=""),"",ROUND('00_Eingabe'!$B$8*D359,0))</x:f>
        <x:v>34</x:v>
      </x:c>
      <x:c r="F359" s="122" t="n">
        <x:f>IF(E359="","",ROUND(E359*'00_Eingabe'!$B$18,0))</x:f>
        <x:v>65</x:v>
      </x:c>
      <x:c r="G359" s="123" t="n">
        <x:f>IF(A359="","",IF(O359&lt;&gt;"",O359,IF(B359="Nebensaison",IF(C359="Wochenende",'00_Eingabe'!$E$24,'00_Eingabe'!$D$24),IF(B359="Hauptsaison",IF(C359="Wochenende",'00_Eingabe'!$E$25,'00_Eingabe'!$D$25),IF(B359="Weihnachten",IF(C359="Wochenende",'00_Eingabe'!$E$26,'00_Eingabe'!$D$26),IF(C359="Wochenende",'00_Eingabe'!$E$27,'00_Eingabe'!$D$27))))))</x:f>
        <x:v>0.98</x:v>
      </x:c>
      <x:c r="H359" s="122" t="n">
        <x:f>IF(OR(A359="",G359=""),"",ROUND('00_Eingabe'!$B$9*G359,0))</x:f>
        <x:v>4</x:v>
      </x:c>
      <x:c r="I359" s="122" t="n">
        <x:f>IF(H359="","",ROUND(H359*'00_Eingabe'!$B$19,0))</x:f>
        <x:v>9</x:v>
      </x:c>
      <x:c r="J359" s="122" t="n">
        <x:f>IF(OR(F359="",I359=""),"",F359+I359)</x:f>
        <x:v>74</x:v>
      </x:c>
      <x:c r="K359" s="122" t="n">
        <x:f>IF(J359="","",ROUND(J359*'00_Eingabe'!$B$16*(1+'00_Eingabe'!$B$14),0))</x:f>
        <x:v>85</x:v>
      </x:c>
      <x:c r="L359" s="122" t="n">
        <x:f>IF(B359="Betriebsferien",0,ROUND(J359*'00_Eingabe'!$B$40,0)+IF(C359="Wochenende",'00_Eingabe'!$B$42,'00_Eingabe'!$B$41))</x:f>
        <x:v>72</x:v>
      </x:c>
      <x:c r="M359" s="123" t="n">
        <x:f>IF(J359="","",ROUND(J359*'00_Eingabe'!$B$17*(1+'00_Eingabe'!$B$15),0))</x:f>
        <x:v>85</x:v>
      </x:c>
      <x:c r="N359" s="106"/>
      <x:c r="O359" s="106"/>
      <x:c r="P359" s="116"/>
      <x:c r="Q359" s="213" t="n">
        <x:f>IF(C359="Wochenende",1,0)</x:f>
        <x:v>0</x:v>
      </x:c>
      <x:c r="R359" s="213" t="n">
        <x:f>IF(AND(B359&lt;&gt;"Betriebsferien",OR(WEEKDAY(A359,2)=2,WEEKDAY(A359,2)=4)),1,0)</x:f>
        <x:v>0</x:v>
      </x:c>
      <x:c r="S359" s="214" t="n">
        <x:f>R359*MIN(1,'00_Eingabe'!$B$62/'00_Eingabe'!$B$61)</x:f>
        <x:v>0</x:v>
      </x:c>
      <x:c r="T359" s="213" t="n">
        <x:f>IF(B359="Betriebsferien",0,IF(B359="Nebensaison",IF(OR(WEEKDAY(A359,2)=1,WEEKDAY(A359,2)=3,WEEKDAY(A359,2)=5),1,0),IF(C359="Unterwoche",1,0)))</x:f>
        <x:v>1</x:v>
      </x:c>
      <x:c r="U359" s="213" t="n">
        <x:f>IF(B359="Betriebsferien",0,'00_Eingabe'!$G$24)</x:f>
        <x:v>8</x:v>
      </x:c>
    </x:row>
    <x:row r="360">
      <x:c r="A360" s="121" t="n">
        <x:f>IF(ROW()-4&lt;DATE('00_Eingabe'!$B$7+1,1,1)-DATE('00_Eingabe'!$B$7,1,1),DATE('00_Eingabe'!$B$7,1,1)+ROW()-4,"")</x:f>
        <x:v>46014</x:v>
      </x:c>
      <x:c r="B360" s="122" t="str">
        <x:f>IF(A360="","",IF(OR(AND(MONTH(A360)=12,DAY(A360)&gt;=20),AND(MONTH(A360)=1,DAY(A360)&lt;=2)),"Weihnachten",IF(OR(AND(MONTH(A360)=11,DAY(A360)&gt;=24),AND(MONTH(A360)=12,DAY(A360)&lt;=7)),"Betriebsferien",IF(OR(AND(MONTH(A360)=1,DAY(A360)&gt;=3),MONTH(A360)=2,MONTH(A360)=3,MONTH(A360)=4,MONTH(A360)=10,MONTH(A360)=11,AND(MONTH(A360)=12,DAY(A360)&lt;=15)),"Nebensaison","Hauptsaison"))))</x:f>
        <x:v>Weihnachten</x:v>
      </x:c>
      <x:c r="C360" s="122" t="str">
        <x:f>IF(A360="","",IF(WEEKDAY(A360,2)&gt;=6,"Wochenende","Unterwoche"))</x:f>
        <x:v>Unterwoche</x:v>
      </x:c>
      <x:c r="D360" s="123" t="n">
        <x:f>IF(A360="","",IF(N360&lt;&gt;"",N360,IF(B360="Nebensaison",IF(C360="Wochenende",'00_Eingabe'!$C$24,'00_Eingabe'!$B$24),IF(B360="Hauptsaison",IF(C360="Wochenende",'00_Eingabe'!$C$25,'00_Eingabe'!$B$25),IF(B360="Weihnachten",IF(C360="Wochenende",'00_Eingabe'!$C$26,'00_Eingabe'!$B$26),IF(C360="Wochenende",'00_Eingabe'!$C$27,'00_Eingabe'!$B$27))))))</x:f>
        <x:v>0.98</x:v>
      </x:c>
      <x:c r="E360" s="122" t="n">
        <x:f>IF(OR(A360="",D360=""),"",ROUND('00_Eingabe'!$B$8*D360,0))</x:f>
        <x:v>34</x:v>
      </x:c>
      <x:c r="F360" s="122" t="n">
        <x:f>IF(E360="","",ROUND(E360*'00_Eingabe'!$B$18,0))</x:f>
        <x:v>65</x:v>
      </x:c>
      <x:c r="G360" s="123" t="n">
        <x:f>IF(A360="","",IF(O360&lt;&gt;"",O360,IF(B360="Nebensaison",IF(C360="Wochenende",'00_Eingabe'!$E$24,'00_Eingabe'!$D$24),IF(B360="Hauptsaison",IF(C360="Wochenende",'00_Eingabe'!$E$25,'00_Eingabe'!$D$25),IF(B360="Weihnachten",IF(C360="Wochenende",'00_Eingabe'!$E$26,'00_Eingabe'!$D$26),IF(C360="Wochenende",'00_Eingabe'!$E$27,'00_Eingabe'!$D$27))))))</x:f>
        <x:v>0.98</x:v>
      </x:c>
      <x:c r="H360" s="122" t="n">
        <x:f>IF(OR(A360="",G360=""),"",ROUND('00_Eingabe'!$B$9*G360,0))</x:f>
        <x:v>4</x:v>
      </x:c>
      <x:c r="I360" s="122" t="n">
        <x:f>IF(H360="","",ROUND(H360*'00_Eingabe'!$B$19,0))</x:f>
        <x:v>9</x:v>
      </x:c>
      <x:c r="J360" s="122" t="n">
        <x:f>IF(OR(F360="",I360=""),"",F360+I360)</x:f>
        <x:v>74</x:v>
      </x:c>
      <x:c r="K360" s="122" t="n">
        <x:f>IF(J360="","",ROUND(J360*'00_Eingabe'!$B$16*(1+'00_Eingabe'!$B$14),0))</x:f>
        <x:v>85</x:v>
      </x:c>
      <x:c r="L360" s="122" t="n">
        <x:f>IF(B360="Betriebsferien",0,ROUND(J360*'00_Eingabe'!$B$40,0)+IF(C360="Wochenende",'00_Eingabe'!$B$42,'00_Eingabe'!$B$41))</x:f>
        <x:v>72</x:v>
      </x:c>
      <x:c r="M360" s="123" t="n">
        <x:f>IF(J360="","",ROUND(J360*'00_Eingabe'!$B$17*(1+'00_Eingabe'!$B$15),0))</x:f>
        <x:v>85</x:v>
      </x:c>
      <x:c r="N360" s="106"/>
      <x:c r="O360" s="106"/>
      <x:c r="P360" s="116"/>
      <x:c r="Q360" s="213" t="n">
        <x:f>IF(C360="Wochenende",1,0)</x:f>
        <x:v>0</x:v>
      </x:c>
      <x:c r="R360" s="213" t="n">
        <x:f>IF(AND(B360&lt;&gt;"Betriebsferien",OR(WEEKDAY(A360,2)=2,WEEKDAY(A360,2)=4)),1,0)</x:f>
        <x:v>1</x:v>
      </x:c>
      <x:c r="S360" s="214" t="n">
        <x:f>R360*MIN(1,'00_Eingabe'!$B$62/'00_Eingabe'!$B$61)</x:f>
        <x:v>0.5</x:v>
      </x:c>
      <x:c r="T360" s="213" t="n">
        <x:f>IF(B360="Betriebsferien",0,IF(B360="Nebensaison",IF(OR(WEEKDAY(A360,2)=1,WEEKDAY(A360,2)=3,WEEKDAY(A360,2)=5),1,0),IF(C360="Unterwoche",1,0)))</x:f>
        <x:v>1</x:v>
      </x:c>
      <x:c r="U360" s="213" t="n">
        <x:f>IF(B360="Betriebsferien",0,'00_Eingabe'!$G$24)</x:f>
        <x:v>8</x:v>
      </x:c>
    </x:row>
    <x:row r="361">
      <x:c r="A361" s="121" t="n">
        <x:f>IF(ROW()-4&lt;DATE('00_Eingabe'!$B$7+1,1,1)-DATE('00_Eingabe'!$B$7,1,1),DATE('00_Eingabe'!$B$7,1,1)+ROW()-4,"")</x:f>
        <x:v>46015</x:v>
      </x:c>
      <x:c r="B361" s="122" t="str">
        <x:f>IF(A361="","",IF(OR(AND(MONTH(A361)=12,DAY(A361)&gt;=20),AND(MONTH(A361)=1,DAY(A361)&lt;=2)),"Weihnachten",IF(OR(AND(MONTH(A361)=11,DAY(A361)&gt;=24),AND(MONTH(A361)=12,DAY(A361)&lt;=7)),"Betriebsferien",IF(OR(AND(MONTH(A361)=1,DAY(A361)&gt;=3),MONTH(A361)=2,MONTH(A361)=3,MONTH(A361)=4,MONTH(A361)=10,MONTH(A361)=11,AND(MONTH(A361)=12,DAY(A361)&lt;=15)),"Nebensaison","Hauptsaison"))))</x:f>
        <x:v>Weihnachten</x:v>
      </x:c>
      <x:c r="C361" s="122" t="str">
        <x:f>IF(A361="","",IF(WEEKDAY(A361,2)&gt;=6,"Wochenende","Unterwoche"))</x:f>
        <x:v>Unterwoche</x:v>
      </x:c>
      <x:c r="D361" s="123" t="n">
        <x:f>IF(A361="","",IF(N361&lt;&gt;"",N361,IF(B361="Nebensaison",IF(C361="Wochenende",'00_Eingabe'!$C$24,'00_Eingabe'!$B$24),IF(B361="Hauptsaison",IF(C361="Wochenende",'00_Eingabe'!$C$25,'00_Eingabe'!$B$25),IF(B361="Weihnachten",IF(C361="Wochenende",'00_Eingabe'!$C$26,'00_Eingabe'!$B$26),IF(C361="Wochenende",'00_Eingabe'!$C$27,'00_Eingabe'!$B$27))))))</x:f>
        <x:v>0.98</x:v>
      </x:c>
      <x:c r="E361" s="122" t="n">
        <x:f>IF(OR(A361="",D361=""),"",ROUND('00_Eingabe'!$B$8*D361,0))</x:f>
        <x:v>34</x:v>
      </x:c>
      <x:c r="F361" s="122" t="n">
        <x:f>IF(E361="","",ROUND(E361*'00_Eingabe'!$B$18,0))</x:f>
        <x:v>65</x:v>
      </x:c>
      <x:c r="G361" s="123" t="n">
        <x:f>IF(A361="","",IF(O361&lt;&gt;"",O361,IF(B361="Nebensaison",IF(C361="Wochenende",'00_Eingabe'!$E$24,'00_Eingabe'!$D$24),IF(B361="Hauptsaison",IF(C361="Wochenende",'00_Eingabe'!$E$25,'00_Eingabe'!$D$25),IF(B361="Weihnachten",IF(C361="Wochenende",'00_Eingabe'!$E$26,'00_Eingabe'!$D$26),IF(C361="Wochenende",'00_Eingabe'!$E$27,'00_Eingabe'!$D$27))))))</x:f>
        <x:v>0.98</x:v>
      </x:c>
      <x:c r="H361" s="122" t="n">
        <x:f>IF(OR(A361="",G361=""),"",ROUND('00_Eingabe'!$B$9*G361,0))</x:f>
        <x:v>4</x:v>
      </x:c>
      <x:c r="I361" s="122" t="n">
        <x:f>IF(H361="","",ROUND(H361*'00_Eingabe'!$B$19,0))</x:f>
        <x:v>9</x:v>
      </x:c>
      <x:c r="J361" s="122" t="n">
        <x:f>IF(OR(F361="",I361=""),"",F361+I361)</x:f>
        <x:v>74</x:v>
      </x:c>
      <x:c r="K361" s="122" t="n">
        <x:f>IF(J361="","",ROUND(J361*'00_Eingabe'!$B$16*(1+'00_Eingabe'!$B$14),0))</x:f>
        <x:v>85</x:v>
      </x:c>
      <x:c r="L361" s="122" t="n">
        <x:f>IF(B361="Betriebsferien",0,ROUND(J361*'00_Eingabe'!$B$40,0)+IF(C361="Wochenende",'00_Eingabe'!$B$42,'00_Eingabe'!$B$41))</x:f>
        <x:v>72</x:v>
      </x:c>
      <x:c r="M361" s="123" t="n">
        <x:f>IF(J361="","",ROUND(J361*'00_Eingabe'!$B$17*(1+'00_Eingabe'!$B$15),0))</x:f>
        <x:v>85</x:v>
      </x:c>
      <x:c r="N361" s="106"/>
      <x:c r="O361" s="106"/>
      <x:c r="P361" s="116"/>
      <x:c r="Q361" s="213" t="n">
        <x:f>IF(C361="Wochenende",1,0)</x:f>
        <x:v>0</x:v>
      </x:c>
      <x:c r="R361" s="213" t="n">
        <x:f>IF(AND(B361&lt;&gt;"Betriebsferien",OR(WEEKDAY(A361,2)=2,WEEKDAY(A361,2)=4)),1,0)</x:f>
        <x:v>0</x:v>
      </x:c>
      <x:c r="S361" s="214" t="n">
        <x:f>R361*MIN(1,'00_Eingabe'!$B$62/'00_Eingabe'!$B$61)</x:f>
        <x:v>0</x:v>
      </x:c>
      <x:c r="T361" s="213" t="n">
        <x:f>IF(B361="Betriebsferien",0,IF(B361="Nebensaison",IF(OR(WEEKDAY(A361,2)=1,WEEKDAY(A361,2)=3,WEEKDAY(A361,2)=5),1,0),IF(C361="Unterwoche",1,0)))</x:f>
        <x:v>1</x:v>
      </x:c>
      <x:c r="U361" s="213" t="n">
        <x:f>IF(B361="Betriebsferien",0,'00_Eingabe'!$G$24)</x:f>
        <x:v>8</x:v>
      </x:c>
    </x:row>
    <x:row r="362">
      <x:c r="A362" s="121" t="n">
        <x:f>IF(ROW()-4&lt;DATE('00_Eingabe'!$B$7+1,1,1)-DATE('00_Eingabe'!$B$7,1,1),DATE('00_Eingabe'!$B$7,1,1)+ROW()-4,"")</x:f>
        <x:v>46016</x:v>
      </x:c>
      <x:c r="B362" s="122" t="str">
        <x:f>IF(A362="","",IF(OR(AND(MONTH(A362)=12,DAY(A362)&gt;=20),AND(MONTH(A362)=1,DAY(A362)&lt;=2)),"Weihnachten",IF(OR(AND(MONTH(A362)=11,DAY(A362)&gt;=24),AND(MONTH(A362)=12,DAY(A362)&lt;=7)),"Betriebsferien",IF(OR(AND(MONTH(A362)=1,DAY(A362)&gt;=3),MONTH(A362)=2,MONTH(A362)=3,MONTH(A362)=4,MONTH(A362)=10,MONTH(A362)=11,AND(MONTH(A362)=12,DAY(A362)&lt;=15)),"Nebensaison","Hauptsaison"))))</x:f>
        <x:v>Weihnachten</x:v>
      </x:c>
      <x:c r="C362" s="122" t="str">
        <x:f>IF(A362="","",IF(WEEKDAY(A362,2)&gt;=6,"Wochenende","Unterwoche"))</x:f>
        <x:v>Unterwoche</x:v>
      </x:c>
      <x:c r="D362" s="123" t="n">
        <x:f>IF(A362="","",IF(N362&lt;&gt;"",N362,IF(B362="Nebensaison",IF(C362="Wochenende",'00_Eingabe'!$C$24,'00_Eingabe'!$B$24),IF(B362="Hauptsaison",IF(C362="Wochenende",'00_Eingabe'!$C$25,'00_Eingabe'!$B$25),IF(B362="Weihnachten",IF(C362="Wochenende",'00_Eingabe'!$C$26,'00_Eingabe'!$B$26),IF(C362="Wochenende",'00_Eingabe'!$C$27,'00_Eingabe'!$B$27))))))</x:f>
        <x:v>0.98</x:v>
      </x:c>
      <x:c r="E362" s="122" t="n">
        <x:f>IF(OR(A362="",D362=""),"",ROUND('00_Eingabe'!$B$8*D362,0))</x:f>
        <x:v>34</x:v>
      </x:c>
      <x:c r="F362" s="122" t="n">
        <x:f>IF(E362="","",ROUND(E362*'00_Eingabe'!$B$18,0))</x:f>
        <x:v>65</x:v>
      </x:c>
      <x:c r="G362" s="123" t="n">
        <x:f>IF(A362="","",IF(O362&lt;&gt;"",O362,IF(B362="Nebensaison",IF(C362="Wochenende",'00_Eingabe'!$E$24,'00_Eingabe'!$D$24),IF(B362="Hauptsaison",IF(C362="Wochenende",'00_Eingabe'!$E$25,'00_Eingabe'!$D$25),IF(B362="Weihnachten",IF(C362="Wochenende",'00_Eingabe'!$E$26,'00_Eingabe'!$D$26),IF(C362="Wochenende",'00_Eingabe'!$E$27,'00_Eingabe'!$D$27))))))</x:f>
        <x:v>0.98</x:v>
      </x:c>
      <x:c r="H362" s="122" t="n">
        <x:f>IF(OR(A362="",G362=""),"",ROUND('00_Eingabe'!$B$9*G362,0))</x:f>
        <x:v>4</x:v>
      </x:c>
      <x:c r="I362" s="122" t="n">
        <x:f>IF(H362="","",ROUND(H362*'00_Eingabe'!$B$19,0))</x:f>
        <x:v>9</x:v>
      </x:c>
      <x:c r="J362" s="122" t="n">
        <x:f>IF(OR(F362="",I362=""),"",F362+I362)</x:f>
        <x:v>74</x:v>
      </x:c>
      <x:c r="K362" s="122" t="n">
        <x:f>IF(J362="","",ROUND(J362*'00_Eingabe'!$B$16*(1+'00_Eingabe'!$B$14),0))</x:f>
        <x:v>85</x:v>
      </x:c>
      <x:c r="L362" s="122" t="n">
        <x:f>IF(B362="Betriebsferien",0,ROUND(J362*'00_Eingabe'!$B$40,0)+IF(C362="Wochenende",'00_Eingabe'!$B$42,'00_Eingabe'!$B$41))</x:f>
        <x:v>72</x:v>
      </x:c>
      <x:c r="M362" s="123" t="n">
        <x:f>IF(J362="","",ROUND(J362*'00_Eingabe'!$B$17*(1+'00_Eingabe'!$B$15),0))</x:f>
        <x:v>85</x:v>
      </x:c>
      <x:c r="N362" s="106"/>
      <x:c r="O362" s="106"/>
      <x:c r="P362" s="116"/>
      <x:c r="Q362" s="213" t="n">
        <x:f>IF(C362="Wochenende",1,0)</x:f>
        <x:v>0</x:v>
      </x:c>
      <x:c r="R362" s="213" t="n">
        <x:f>IF(AND(B362&lt;&gt;"Betriebsferien",OR(WEEKDAY(A362,2)=2,WEEKDAY(A362,2)=4)),1,0)</x:f>
        <x:v>1</x:v>
      </x:c>
      <x:c r="S362" s="214" t="n">
        <x:f>R362*MIN(1,'00_Eingabe'!$B$62/'00_Eingabe'!$B$61)</x:f>
        <x:v>0.5</x:v>
      </x:c>
      <x:c r="T362" s="213" t="n">
        <x:f>IF(B362="Betriebsferien",0,IF(B362="Nebensaison",IF(OR(WEEKDAY(A362,2)=1,WEEKDAY(A362,2)=3,WEEKDAY(A362,2)=5),1,0),IF(C362="Unterwoche",1,0)))</x:f>
        <x:v>1</x:v>
      </x:c>
      <x:c r="U362" s="213" t="n">
        <x:f>IF(B362="Betriebsferien",0,'00_Eingabe'!$G$24)</x:f>
        <x:v>8</x:v>
      </x:c>
    </x:row>
    <x:row r="363">
      <x:c r="A363" s="121" t="n">
        <x:f>IF(ROW()-4&lt;DATE('00_Eingabe'!$B$7+1,1,1)-DATE('00_Eingabe'!$B$7,1,1),DATE('00_Eingabe'!$B$7,1,1)+ROW()-4,"")</x:f>
        <x:v>46017</x:v>
      </x:c>
      <x:c r="B363" s="122" t="str">
        <x:f>IF(A363="","",IF(OR(AND(MONTH(A363)=12,DAY(A363)&gt;=20),AND(MONTH(A363)=1,DAY(A363)&lt;=2)),"Weihnachten",IF(OR(AND(MONTH(A363)=11,DAY(A363)&gt;=24),AND(MONTH(A363)=12,DAY(A363)&lt;=7)),"Betriebsferien",IF(OR(AND(MONTH(A363)=1,DAY(A363)&gt;=3),MONTH(A363)=2,MONTH(A363)=3,MONTH(A363)=4,MONTH(A363)=10,MONTH(A363)=11,AND(MONTH(A363)=12,DAY(A363)&lt;=15)),"Nebensaison","Hauptsaison"))))</x:f>
        <x:v>Weihnachten</x:v>
      </x:c>
      <x:c r="C363" s="122" t="str">
        <x:f>IF(A363="","",IF(WEEKDAY(A363,2)&gt;=6,"Wochenende","Unterwoche"))</x:f>
        <x:v>Unterwoche</x:v>
      </x:c>
      <x:c r="D363" s="123" t="n">
        <x:f>IF(A363="","",IF(N363&lt;&gt;"",N363,IF(B363="Nebensaison",IF(C363="Wochenende",'00_Eingabe'!$C$24,'00_Eingabe'!$B$24),IF(B363="Hauptsaison",IF(C363="Wochenende",'00_Eingabe'!$C$25,'00_Eingabe'!$B$25),IF(B363="Weihnachten",IF(C363="Wochenende",'00_Eingabe'!$C$26,'00_Eingabe'!$B$26),IF(C363="Wochenende",'00_Eingabe'!$C$27,'00_Eingabe'!$B$27))))))</x:f>
        <x:v>0.98</x:v>
      </x:c>
      <x:c r="E363" s="122" t="n">
        <x:f>IF(OR(A363="",D363=""),"",ROUND('00_Eingabe'!$B$8*D363,0))</x:f>
        <x:v>34</x:v>
      </x:c>
      <x:c r="F363" s="122" t="n">
        <x:f>IF(E363="","",ROUND(E363*'00_Eingabe'!$B$18,0))</x:f>
        <x:v>65</x:v>
      </x:c>
      <x:c r="G363" s="123" t="n">
        <x:f>IF(A363="","",IF(O363&lt;&gt;"",O363,IF(B363="Nebensaison",IF(C363="Wochenende",'00_Eingabe'!$E$24,'00_Eingabe'!$D$24),IF(B363="Hauptsaison",IF(C363="Wochenende",'00_Eingabe'!$E$25,'00_Eingabe'!$D$25),IF(B363="Weihnachten",IF(C363="Wochenende",'00_Eingabe'!$E$26,'00_Eingabe'!$D$26),IF(C363="Wochenende",'00_Eingabe'!$E$27,'00_Eingabe'!$D$27))))))</x:f>
        <x:v>0.98</x:v>
      </x:c>
      <x:c r="H363" s="122" t="n">
        <x:f>IF(OR(A363="",G363=""),"",ROUND('00_Eingabe'!$B$9*G363,0))</x:f>
        <x:v>4</x:v>
      </x:c>
      <x:c r="I363" s="122" t="n">
        <x:f>IF(H363="","",ROUND(H363*'00_Eingabe'!$B$19,0))</x:f>
        <x:v>9</x:v>
      </x:c>
      <x:c r="J363" s="122" t="n">
        <x:f>IF(OR(F363="",I363=""),"",F363+I363)</x:f>
        <x:v>74</x:v>
      </x:c>
      <x:c r="K363" s="122" t="n">
        <x:f>IF(J363="","",ROUND(J363*'00_Eingabe'!$B$16*(1+'00_Eingabe'!$B$14),0))</x:f>
        <x:v>85</x:v>
      </x:c>
      <x:c r="L363" s="122" t="n">
        <x:f>IF(B363="Betriebsferien",0,ROUND(J363*'00_Eingabe'!$B$40,0)+IF(C363="Wochenende",'00_Eingabe'!$B$42,'00_Eingabe'!$B$41))</x:f>
        <x:v>72</x:v>
      </x:c>
      <x:c r="M363" s="123" t="n">
        <x:f>IF(J363="","",ROUND(J363*'00_Eingabe'!$B$17*(1+'00_Eingabe'!$B$15),0))</x:f>
        <x:v>85</x:v>
      </x:c>
      <x:c r="N363" s="106"/>
      <x:c r="O363" s="106"/>
      <x:c r="P363" s="116"/>
      <x:c r="Q363" s="213" t="n">
        <x:f>IF(C363="Wochenende",1,0)</x:f>
        <x:v>0</x:v>
      </x:c>
      <x:c r="R363" s="213" t="n">
        <x:f>IF(AND(B363&lt;&gt;"Betriebsferien",OR(WEEKDAY(A363,2)=2,WEEKDAY(A363,2)=4)),1,0)</x:f>
        <x:v>0</x:v>
      </x:c>
      <x:c r="S363" s="214" t="n">
        <x:f>R363*MIN(1,'00_Eingabe'!$B$62/'00_Eingabe'!$B$61)</x:f>
        <x:v>0</x:v>
      </x:c>
      <x:c r="T363" s="213" t="n">
        <x:f>IF(B363="Betriebsferien",0,IF(B363="Nebensaison",IF(OR(WEEKDAY(A363,2)=1,WEEKDAY(A363,2)=3,WEEKDAY(A363,2)=5),1,0),IF(C363="Unterwoche",1,0)))</x:f>
        <x:v>1</x:v>
      </x:c>
      <x:c r="U363" s="213" t="n">
        <x:f>IF(B363="Betriebsferien",0,'00_Eingabe'!$G$24)</x:f>
        <x:v>8</x:v>
      </x:c>
    </x:row>
    <x:row r="364">
      <x:c r="A364" s="121" t="n">
        <x:f>IF(ROW()-4&lt;DATE('00_Eingabe'!$B$7+1,1,1)-DATE('00_Eingabe'!$B$7,1,1),DATE('00_Eingabe'!$B$7,1,1)+ROW()-4,"")</x:f>
        <x:v>46018</x:v>
      </x:c>
      <x:c r="B364" s="122" t="str">
        <x:f>IF(A364="","",IF(OR(AND(MONTH(A364)=12,DAY(A364)&gt;=20),AND(MONTH(A364)=1,DAY(A364)&lt;=2)),"Weihnachten",IF(OR(AND(MONTH(A364)=11,DAY(A364)&gt;=24),AND(MONTH(A364)=12,DAY(A364)&lt;=7)),"Betriebsferien",IF(OR(AND(MONTH(A364)=1,DAY(A364)&gt;=3),MONTH(A364)=2,MONTH(A364)=3,MONTH(A364)=4,MONTH(A364)=10,MONTH(A364)=11,AND(MONTH(A364)=12,DAY(A364)&lt;=15)),"Nebensaison","Hauptsaison"))))</x:f>
        <x:v>Weihnachten</x:v>
      </x:c>
      <x:c r="C364" s="122" t="str">
        <x:f>IF(A364="","",IF(WEEKDAY(A364,2)&gt;=6,"Wochenende","Unterwoche"))</x:f>
        <x:v>Wochenende</x:v>
      </x:c>
      <x:c r="D364" s="123" t="n">
        <x:f>IF(A364="","",IF(N364&lt;&gt;"",N364,IF(B364="Nebensaison",IF(C364="Wochenende",'00_Eingabe'!$C$24,'00_Eingabe'!$B$24),IF(B364="Hauptsaison",IF(C364="Wochenende",'00_Eingabe'!$C$25,'00_Eingabe'!$B$25),IF(B364="Weihnachten",IF(C364="Wochenende",'00_Eingabe'!$C$26,'00_Eingabe'!$B$26),IF(C364="Wochenende",'00_Eingabe'!$C$27,'00_Eingabe'!$B$27))))))</x:f>
        <x:v>0.98</x:v>
      </x:c>
      <x:c r="E364" s="122" t="n">
        <x:f>IF(OR(A364="",D364=""),"",ROUND('00_Eingabe'!$B$8*D364,0))</x:f>
        <x:v>34</x:v>
      </x:c>
      <x:c r="F364" s="122" t="n">
        <x:f>IF(E364="","",ROUND(E364*'00_Eingabe'!$B$18,0))</x:f>
        <x:v>65</x:v>
      </x:c>
      <x:c r="G364" s="123" t="n">
        <x:f>IF(A364="","",IF(O364&lt;&gt;"",O364,IF(B364="Nebensaison",IF(C364="Wochenende",'00_Eingabe'!$E$24,'00_Eingabe'!$D$24),IF(B364="Hauptsaison",IF(C364="Wochenende",'00_Eingabe'!$E$25,'00_Eingabe'!$D$25),IF(B364="Weihnachten",IF(C364="Wochenende",'00_Eingabe'!$E$26,'00_Eingabe'!$D$26),IF(C364="Wochenende",'00_Eingabe'!$E$27,'00_Eingabe'!$D$27))))))</x:f>
        <x:v>0.98</x:v>
      </x:c>
      <x:c r="H364" s="122" t="n">
        <x:f>IF(OR(A364="",G364=""),"",ROUND('00_Eingabe'!$B$9*G364,0))</x:f>
        <x:v>4</x:v>
      </x:c>
      <x:c r="I364" s="122" t="n">
        <x:f>IF(H364="","",ROUND(H364*'00_Eingabe'!$B$19,0))</x:f>
        <x:v>9</x:v>
      </x:c>
      <x:c r="J364" s="122" t="n">
        <x:f>IF(OR(F364="",I364=""),"",F364+I364)</x:f>
        <x:v>74</x:v>
      </x:c>
      <x:c r="K364" s="122" t="n">
        <x:f>IF(J364="","",ROUND(J364*'00_Eingabe'!$B$16*(1+'00_Eingabe'!$B$14),0))</x:f>
        <x:v>85</x:v>
      </x:c>
      <x:c r="L364" s="122" t="n">
        <x:f>IF(B364="Betriebsferien",0,ROUND(J364*'00_Eingabe'!$B$40,0)+IF(C364="Wochenende",'00_Eingabe'!$B$42,'00_Eingabe'!$B$41))</x:f>
        <x:v>97</x:v>
      </x:c>
      <x:c r="M364" s="123" t="n">
        <x:f>IF(J364="","",ROUND(J364*'00_Eingabe'!$B$17*(1+'00_Eingabe'!$B$15),0))</x:f>
        <x:v>85</x:v>
      </x:c>
      <x:c r="N364" s="106"/>
      <x:c r="O364" s="106"/>
      <x:c r="P364" s="116"/>
      <x:c r="Q364" s="213" t="n">
        <x:f>IF(C364="Wochenende",1,0)</x:f>
        <x:v>1</x:v>
      </x:c>
      <x:c r="R364" s="213" t="n">
        <x:f>IF(AND(B364&lt;&gt;"Betriebsferien",OR(WEEKDAY(A364,2)=2,WEEKDAY(A364,2)=4)),1,0)</x:f>
        <x:v>0</x:v>
      </x:c>
      <x:c r="S364" s="214" t="n">
        <x:f>R364*MIN(1,'00_Eingabe'!$B$62/'00_Eingabe'!$B$61)</x:f>
        <x:v>0</x:v>
      </x:c>
      <x:c r="T364" s="213" t="n">
        <x:f>IF(B364="Betriebsferien",0,IF(B364="Nebensaison",IF(OR(WEEKDAY(A364,2)=1,WEEKDAY(A364,2)=3,WEEKDAY(A364,2)=5),1,0),IF(C364="Unterwoche",1,0)))</x:f>
        <x:v>0</x:v>
      </x:c>
      <x:c r="U364" s="213" t="n">
        <x:f>IF(B364="Betriebsferien",0,'00_Eingabe'!$G$24)</x:f>
        <x:v>8</x:v>
      </x:c>
    </x:row>
    <x:row r="365">
      <x:c r="A365" s="121" t="n">
        <x:f>IF(ROW()-4&lt;DATE('00_Eingabe'!$B$7+1,1,1)-DATE('00_Eingabe'!$B$7,1,1),DATE('00_Eingabe'!$B$7,1,1)+ROW()-4,"")</x:f>
        <x:v>46019</x:v>
      </x:c>
      <x:c r="B365" s="122" t="str">
        <x:f>IF(A365="","",IF(OR(AND(MONTH(A365)=12,DAY(A365)&gt;=20),AND(MONTH(A365)=1,DAY(A365)&lt;=2)),"Weihnachten",IF(OR(AND(MONTH(A365)=11,DAY(A365)&gt;=24),AND(MONTH(A365)=12,DAY(A365)&lt;=7)),"Betriebsferien",IF(OR(AND(MONTH(A365)=1,DAY(A365)&gt;=3),MONTH(A365)=2,MONTH(A365)=3,MONTH(A365)=4,MONTH(A365)=10,MONTH(A365)=11,AND(MONTH(A365)=12,DAY(A365)&lt;=15)),"Nebensaison","Hauptsaison"))))</x:f>
        <x:v>Weihnachten</x:v>
      </x:c>
      <x:c r="C365" s="122" t="str">
        <x:f>IF(A365="","",IF(WEEKDAY(A365,2)&gt;=6,"Wochenende","Unterwoche"))</x:f>
        <x:v>Wochenende</x:v>
      </x:c>
      <x:c r="D365" s="123" t="n">
        <x:f>IF(A365="","",IF(N365&lt;&gt;"",N365,IF(B365="Nebensaison",IF(C365="Wochenende",'00_Eingabe'!$C$24,'00_Eingabe'!$B$24),IF(B365="Hauptsaison",IF(C365="Wochenende",'00_Eingabe'!$C$25,'00_Eingabe'!$B$25),IF(B365="Weihnachten",IF(C365="Wochenende",'00_Eingabe'!$C$26,'00_Eingabe'!$B$26),IF(C365="Wochenende",'00_Eingabe'!$C$27,'00_Eingabe'!$B$27))))))</x:f>
        <x:v>0.98</x:v>
      </x:c>
      <x:c r="E365" s="122" t="n">
        <x:f>IF(OR(A365="",D365=""),"",ROUND('00_Eingabe'!$B$8*D365,0))</x:f>
        <x:v>34</x:v>
      </x:c>
      <x:c r="F365" s="122" t="n">
        <x:f>IF(E365="","",ROUND(E365*'00_Eingabe'!$B$18,0))</x:f>
        <x:v>65</x:v>
      </x:c>
      <x:c r="G365" s="123" t="n">
        <x:f>IF(A365="","",IF(O365&lt;&gt;"",O365,IF(B365="Nebensaison",IF(C365="Wochenende",'00_Eingabe'!$E$24,'00_Eingabe'!$D$24),IF(B365="Hauptsaison",IF(C365="Wochenende",'00_Eingabe'!$E$25,'00_Eingabe'!$D$25),IF(B365="Weihnachten",IF(C365="Wochenende",'00_Eingabe'!$E$26,'00_Eingabe'!$D$26),IF(C365="Wochenende",'00_Eingabe'!$E$27,'00_Eingabe'!$D$27))))))</x:f>
        <x:v>0.98</x:v>
      </x:c>
      <x:c r="H365" s="122" t="n">
        <x:f>IF(OR(A365="",G365=""),"",ROUND('00_Eingabe'!$B$9*G365,0))</x:f>
        <x:v>4</x:v>
      </x:c>
      <x:c r="I365" s="122" t="n">
        <x:f>IF(H365="","",ROUND(H365*'00_Eingabe'!$B$19,0))</x:f>
        <x:v>9</x:v>
      </x:c>
      <x:c r="J365" s="122" t="n">
        <x:f>IF(OR(F365="",I365=""),"",F365+I365)</x:f>
        <x:v>74</x:v>
      </x:c>
      <x:c r="K365" s="122" t="n">
        <x:f>IF(J365="","",ROUND(J365*'00_Eingabe'!$B$16*(1+'00_Eingabe'!$B$14),0))</x:f>
        <x:v>85</x:v>
      </x:c>
      <x:c r="L365" s="122" t="n">
        <x:f>IF(B365="Betriebsferien",0,ROUND(J365*'00_Eingabe'!$B$40,0)+IF(C365="Wochenende",'00_Eingabe'!$B$42,'00_Eingabe'!$B$41))</x:f>
        <x:v>97</x:v>
      </x:c>
      <x:c r="M365" s="123" t="n">
        <x:f>IF(J365="","",ROUND(J365*'00_Eingabe'!$B$17*(1+'00_Eingabe'!$B$15),0))</x:f>
        <x:v>85</x:v>
      </x:c>
      <x:c r="N365" s="106"/>
      <x:c r="O365" s="106"/>
      <x:c r="P365" s="116"/>
      <x:c r="Q365" s="213" t="n">
        <x:f>IF(C365="Wochenende",1,0)</x:f>
        <x:v>1</x:v>
      </x:c>
      <x:c r="R365" s="213" t="n">
        <x:f>IF(AND(B365&lt;&gt;"Betriebsferien",OR(WEEKDAY(A365,2)=2,WEEKDAY(A365,2)=4)),1,0)</x:f>
        <x:v>0</x:v>
      </x:c>
      <x:c r="S365" s="214" t="n">
        <x:f>R365*MIN(1,'00_Eingabe'!$B$62/'00_Eingabe'!$B$61)</x:f>
        <x:v>0</x:v>
      </x:c>
      <x:c r="T365" s="213" t="n">
        <x:f>IF(B365="Betriebsferien",0,IF(B365="Nebensaison",IF(OR(WEEKDAY(A365,2)=1,WEEKDAY(A365,2)=3,WEEKDAY(A365,2)=5),1,0),IF(C365="Unterwoche",1,0)))</x:f>
        <x:v>0</x:v>
      </x:c>
      <x:c r="U365" s="213" t="n">
        <x:f>IF(B365="Betriebsferien",0,'00_Eingabe'!$G$24)</x:f>
        <x:v>8</x:v>
      </x:c>
    </x:row>
    <x:row r="366">
      <x:c r="A366" s="121" t="n">
        <x:f>IF(ROW()-4&lt;DATE('00_Eingabe'!$B$7+1,1,1)-DATE('00_Eingabe'!$B$7,1,1),DATE('00_Eingabe'!$B$7,1,1)+ROW()-4,"")</x:f>
        <x:v>46020</x:v>
      </x:c>
      <x:c r="B366" s="122" t="str">
        <x:f>IF(A366="","",IF(OR(AND(MONTH(A366)=12,DAY(A366)&gt;=20),AND(MONTH(A366)=1,DAY(A366)&lt;=2)),"Weihnachten",IF(OR(AND(MONTH(A366)=11,DAY(A366)&gt;=24),AND(MONTH(A366)=12,DAY(A366)&lt;=7)),"Betriebsferien",IF(OR(AND(MONTH(A366)=1,DAY(A366)&gt;=3),MONTH(A366)=2,MONTH(A366)=3,MONTH(A366)=4,MONTH(A366)=10,MONTH(A366)=11,AND(MONTH(A366)=12,DAY(A366)&lt;=15)),"Nebensaison","Hauptsaison"))))</x:f>
        <x:v>Weihnachten</x:v>
      </x:c>
      <x:c r="C366" s="122" t="str">
        <x:f>IF(A366="","",IF(WEEKDAY(A366,2)&gt;=6,"Wochenende","Unterwoche"))</x:f>
        <x:v>Unterwoche</x:v>
      </x:c>
      <x:c r="D366" s="123" t="n">
        <x:f>IF(A366="","",IF(N366&lt;&gt;"",N366,IF(B366="Nebensaison",IF(C366="Wochenende",'00_Eingabe'!$C$24,'00_Eingabe'!$B$24),IF(B366="Hauptsaison",IF(C366="Wochenende",'00_Eingabe'!$C$25,'00_Eingabe'!$B$25),IF(B366="Weihnachten",IF(C366="Wochenende",'00_Eingabe'!$C$26,'00_Eingabe'!$B$26),IF(C366="Wochenende",'00_Eingabe'!$C$27,'00_Eingabe'!$B$27))))))</x:f>
        <x:v>0.98</x:v>
      </x:c>
      <x:c r="E366" s="122" t="n">
        <x:f>IF(OR(A366="",D366=""),"",ROUND('00_Eingabe'!$B$8*D366,0))</x:f>
        <x:v>34</x:v>
      </x:c>
      <x:c r="F366" s="122" t="n">
        <x:f>IF(E366="","",ROUND(E366*'00_Eingabe'!$B$18,0))</x:f>
        <x:v>65</x:v>
      </x:c>
      <x:c r="G366" s="123" t="n">
        <x:f>IF(A366="","",IF(O366&lt;&gt;"",O366,IF(B366="Nebensaison",IF(C366="Wochenende",'00_Eingabe'!$E$24,'00_Eingabe'!$D$24),IF(B366="Hauptsaison",IF(C366="Wochenende",'00_Eingabe'!$E$25,'00_Eingabe'!$D$25),IF(B366="Weihnachten",IF(C366="Wochenende",'00_Eingabe'!$E$26,'00_Eingabe'!$D$26),IF(C366="Wochenende",'00_Eingabe'!$E$27,'00_Eingabe'!$D$27))))))</x:f>
        <x:v>0.98</x:v>
      </x:c>
      <x:c r="H366" s="122" t="n">
        <x:f>IF(OR(A366="",G366=""),"",ROUND('00_Eingabe'!$B$9*G366,0))</x:f>
        <x:v>4</x:v>
      </x:c>
      <x:c r="I366" s="122" t="n">
        <x:f>IF(H366="","",ROUND(H366*'00_Eingabe'!$B$19,0))</x:f>
        <x:v>9</x:v>
      </x:c>
      <x:c r="J366" s="122" t="n">
        <x:f>IF(OR(F366="",I366=""),"",F366+I366)</x:f>
        <x:v>74</x:v>
      </x:c>
      <x:c r="K366" s="122" t="n">
        <x:f>IF(J366="","",ROUND(J366*'00_Eingabe'!$B$16*(1+'00_Eingabe'!$B$14),0))</x:f>
        <x:v>85</x:v>
      </x:c>
      <x:c r="L366" s="122" t="n">
        <x:f>IF(B366="Betriebsferien",0,ROUND(J366*'00_Eingabe'!$B$40,0)+IF(C366="Wochenende",'00_Eingabe'!$B$42,'00_Eingabe'!$B$41))</x:f>
        <x:v>72</x:v>
      </x:c>
      <x:c r="M366" s="123" t="n">
        <x:f>IF(J366="","",ROUND(J366*'00_Eingabe'!$B$17*(1+'00_Eingabe'!$B$15),0))</x:f>
        <x:v>85</x:v>
      </x:c>
      <x:c r="N366" s="106"/>
      <x:c r="O366" s="106"/>
      <x:c r="P366" s="116"/>
      <x:c r="Q366" s="213" t="n">
        <x:f>IF(C366="Wochenende",1,0)</x:f>
        <x:v>0</x:v>
      </x:c>
      <x:c r="R366" s="213" t="n">
        <x:f>IF(AND(B366&lt;&gt;"Betriebsferien",OR(WEEKDAY(A366,2)=2,WEEKDAY(A366,2)=4)),1,0)</x:f>
        <x:v>0</x:v>
      </x:c>
      <x:c r="S366" s="214" t="n">
        <x:f>R366*MIN(1,'00_Eingabe'!$B$62/'00_Eingabe'!$B$61)</x:f>
        <x:v>0</x:v>
      </x:c>
      <x:c r="T366" s="213" t="n">
        <x:f>IF(B366="Betriebsferien",0,IF(B366="Nebensaison",IF(OR(WEEKDAY(A366,2)=1,WEEKDAY(A366,2)=3,WEEKDAY(A366,2)=5),1,0),IF(C366="Unterwoche",1,0)))</x:f>
        <x:v>1</x:v>
      </x:c>
      <x:c r="U366" s="213" t="n">
        <x:f>IF(B366="Betriebsferien",0,'00_Eingabe'!$G$24)</x:f>
        <x:v>8</x:v>
      </x:c>
    </x:row>
    <x:row r="367">
      <x:c r="A367" s="121" t="n">
        <x:f>IF(ROW()-4&lt;DATE('00_Eingabe'!$B$7+1,1,1)-DATE('00_Eingabe'!$B$7,1,1),DATE('00_Eingabe'!$B$7,1,1)+ROW()-4,"")</x:f>
        <x:v>46021</x:v>
      </x:c>
      <x:c r="B367" s="122" t="str">
        <x:f>IF(A367="","",IF(OR(AND(MONTH(A367)=12,DAY(A367)&gt;=20),AND(MONTH(A367)=1,DAY(A367)&lt;=2)),"Weihnachten",IF(OR(AND(MONTH(A367)=11,DAY(A367)&gt;=24),AND(MONTH(A367)=12,DAY(A367)&lt;=7)),"Betriebsferien",IF(OR(AND(MONTH(A367)=1,DAY(A367)&gt;=3),MONTH(A367)=2,MONTH(A367)=3,MONTH(A367)=4,MONTH(A367)=10,MONTH(A367)=11,AND(MONTH(A367)=12,DAY(A367)&lt;=15)),"Nebensaison","Hauptsaison"))))</x:f>
        <x:v>Weihnachten</x:v>
      </x:c>
      <x:c r="C367" s="122" t="str">
        <x:f>IF(A367="","",IF(WEEKDAY(A367,2)&gt;=6,"Wochenende","Unterwoche"))</x:f>
        <x:v>Unterwoche</x:v>
      </x:c>
      <x:c r="D367" s="123" t="n">
        <x:f>IF(A367="","",IF(N367&lt;&gt;"",N367,IF(B367="Nebensaison",IF(C367="Wochenende",'00_Eingabe'!$C$24,'00_Eingabe'!$B$24),IF(B367="Hauptsaison",IF(C367="Wochenende",'00_Eingabe'!$C$25,'00_Eingabe'!$B$25),IF(B367="Weihnachten",IF(C367="Wochenende",'00_Eingabe'!$C$26,'00_Eingabe'!$B$26),IF(C367="Wochenende",'00_Eingabe'!$C$27,'00_Eingabe'!$B$27))))))</x:f>
        <x:v>0.98</x:v>
      </x:c>
      <x:c r="E367" s="122" t="n">
        <x:f>IF(OR(A367="",D367=""),"",ROUND('00_Eingabe'!$B$8*D367,0))</x:f>
        <x:v>34</x:v>
      </x:c>
      <x:c r="F367" s="122" t="n">
        <x:f>IF(E367="","",ROUND(E367*'00_Eingabe'!$B$18,0))</x:f>
        <x:v>65</x:v>
      </x:c>
      <x:c r="G367" s="123" t="n">
        <x:f>IF(A367="","",IF(O367&lt;&gt;"",O367,IF(B367="Nebensaison",IF(C367="Wochenende",'00_Eingabe'!$E$24,'00_Eingabe'!$D$24),IF(B367="Hauptsaison",IF(C367="Wochenende",'00_Eingabe'!$E$25,'00_Eingabe'!$D$25),IF(B367="Weihnachten",IF(C367="Wochenende",'00_Eingabe'!$E$26,'00_Eingabe'!$D$26),IF(C367="Wochenende",'00_Eingabe'!$E$27,'00_Eingabe'!$D$27))))))</x:f>
        <x:v>0.98</x:v>
      </x:c>
      <x:c r="H367" s="122" t="n">
        <x:f>IF(OR(A367="",G367=""),"",ROUND('00_Eingabe'!$B$9*G367,0))</x:f>
        <x:v>4</x:v>
      </x:c>
      <x:c r="I367" s="122" t="n">
        <x:f>IF(H367="","",ROUND(H367*'00_Eingabe'!$B$19,0))</x:f>
        <x:v>9</x:v>
      </x:c>
      <x:c r="J367" s="122" t="n">
        <x:f>IF(OR(F367="",I367=""),"",F367+I367)</x:f>
        <x:v>74</x:v>
      </x:c>
      <x:c r="K367" s="122" t="n">
        <x:f>IF(J367="","",ROUND(J367*'00_Eingabe'!$B$16*(1+'00_Eingabe'!$B$14),0))</x:f>
        <x:v>85</x:v>
      </x:c>
      <x:c r="L367" s="122" t="n">
        <x:f>IF(B367="Betriebsferien",0,ROUND(J367*'00_Eingabe'!$B$40,0)+IF(C367="Wochenende",'00_Eingabe'!$B$42,'00_Eingabe'!$B$41))</x:f>
        <x:v>72</x:v>
      </x:c>
      <x:c r="M367" s="123" t="n">
        <x:f>IF(J367="","",ROUND(J367*'00_Eingabe'!$B$17*(1+'00_Eingabe'!$B$15),0))</x:f>
        <x:v>85</x:v>
      </x:c>
      <x:c r="N367" s="106"/>
      <x:c r="O367" s="106"/>
      <x:c r="P367" s="116"/>
      <x:c r="Q367" s="213" t="n">
        <x:f>IF(C367="Wochenende",1,0)</x:f>
        <x:v>0</x:v>
      </x:c>
      <x:c r="R367" s="213" t="n">
        <x:f>IF(AND(B367&lt;&gt;"Betriebsferien",OR(WEEKDAY(A367,2)=2,WEEKDAY(A367,2)=4)),1,0)</x:f>
        <x:v>1</x:v>
      </x:c>
      <x:c r="S367" s="214" t="n">
        <x:f>R367*MIN(1,'00_Eingabe'!$B$62/'00_Eingabe'!$B$61)</x:f>
        <x:v>0.5</x:v>
      </x:c>
      <x:c r="T367" s="213" t="n">
        <x:f>IF(B367="Betriebsferien",0,IF(B367="Nebensaison",IF(OR(WEEKDAY(A367,2)=1,WEEKDAY(A367,2)=3,WEEKDAY(A367,2)=5),1,0),IF(C367="Unterwoche",1,0)))</x:f>
        <x:v>1</x:v>
      </x:c>
      <x:c r="U367" s="213" t="n">
        <x:f>IF(B367="Betriebsferien",0,'00_Eingabe'!$G$24)</x:f>
        <x:v>8</x:v>
      </x:c>
    </x:row>
    <x:row r="368">
      <x:c r="A368" s="121" t="n">
        <x:f>IF(ROW()-4&lt;DATE('00_Eingabe'!$B$7+1,1,1)-DATE('00_Eingabe'!$B$7,1,1),DATE('00_Eingabe'!$B$7,1,1)+ROW()-4,"")</x:f>
        <x:v>46022</x:v>
      </x:c>
      <x:c r="B368" s="122" t="str">
        <x:f>IF(A368="","",IF(OR(AND(MONTH(A368)=12,DAY(A368)&gt;=20),AND(MONTH(A368)=1,DAY(A368)&lt;=2)),"Weihnachten",IF(OR(AND(MONTH(A368)=11,DAY(A368)&gt;=24),AND(MONTH(A368)=12,DAY(A368)&lt;=7)),"Betriebsferien",IF(OR(AND(MONTH(A368)=1,DAY(A368)&gt;=3),MONTH(A368)=2,MONTH(A368)=3,MONTH(A368)=4,MONTH(A368)=10,MONTH(A368)=11,AND(MONTH(A368)=12,DAY(A368)&lt;=15)),"Nebensaison","Hauptsaison"))))</x:f>
        <x:v>Weihnachten</x:v>
      </x:c>
      <x:c r="C368" s="122" t="str">
        <x:f>IF(A368="","",IF(WEEKDAY(A368,2)&gt;=6,"Wochenende","Unterwoche"))</x:f>
        <x:v>Unterwoche</x:v>
      </x:c>
      <x:c r="D368" s="123" t="n">
        <x:f>IF(A368="","",IF(N368&lt;&gt;"",N368,IF(B368="Nebensaison",IF(C368="Wochenende",'00_Eingabe'!$C$24,'00_Eingabe'!$B$24),IF(B368="Hauptsaison",IF(C368="Wochenende",'00_Eingabe'!$C$25,'00_Eingabe'!$B$25),IF(B368="Weihnachten",IF(C368="Wochenende",'00_Eingabe'!$C$26,'00_Eingabe'!$B$26),IF(C368="Wochenende",'00_Eingabe'!$C$27,'00_Eingabe'!$B$27))))))</x:f>
        <x:v>0.98</x:v>
      </x:c>
      <x:c r="E368" s="122" t="n">
        <x:f>IF(OR(A368="",D368=""),"",ROUND('00_Eingabe'!$B$8*D368,0))</x:f>
        <x:v>34</x:v>
      </x:c>
      <x:c r="F368" s="122" t="n">
        <x:f>IF(E368="","",ROUND(E368*'00_Eingabe'!$B$18,0))</x:f>
        <x:v>65</x:v>
      </x:c>
      <x:c r="G368" s="123" t="n">
        <x:f>IF(A368="","",IF(O368&lt;&gt;"",O368,IF(B368="Nebensaison",IF(C368="Wochenende",'00_Eingabe'!$E$24,'00_Eingabe'!$D$24),IF(B368="Hauptsaison",IF(C368="Wochenende",'00_Eingabe'!$E$25,'00_Eingabe'!$D$25),IF(B368="Weihnachten",IF(C368="Wochenende",'00_Eingabe'!$E$26,'00_Eingabe'!$D$26),IF(C368="Wochenende",'00_Eingabe'!$E$27,'00_Eingabe'!$D$27))))))</x:f>
        <x:v>0.98</x:v>
      </x:c>
      <x:c r="H368" s="122" t="n">
        <x:f>IF(OR(A368="",G368=""),"",ROUND('00_Eingabe'!$B$9*G368,0))</x:f>
        <x:v>4</x:v>
      </x:c>
      <x:c r="I368" s="122" t="n">
        <x:f>IF(H368="","",ROUND(H368*'00_Eingabe'!$B$19,0))</x:f>
        <x:v>9</x:v>
      </x:c>
      <x:c r="J368" s="122" t="n">
        <x:f>IF(OR(F368="",I368=""),"",F368+I368)</x:f>
        <x:v>74</x:v>
      </x:c>
      <x:c r="K368" s="122" t="n">
        <x:f>IF(J368="","",ROUND(J368*'00_Eingabe'!$B$16*(1+'00_Eingabe'!$B$14),0))</x:f>
        <x:v>85</x:v>
      </x:c>
      <x:c r="L368" s="122" t="n">
        <x:f>IF(B368="Betriebsferien",0,ROUND(J368*'00_Eingabe'!$B$40,0)+IF(C368="Wochenende",'00_Eingabe'!$B$42,'00_Eingabe'!$B$41))</x:f>
        <x:v>72</x:v>
      </x:c>
      <x:c r="M368" s="123" t="n">
        <x:f>IF(J368="","",ROUND(J368*'00_Eingabe'!$B$17*(1+'00_Eingabe'!$B$15),0))</x:f>
        <x:v>85</x:v>
      </x:c>
      <x:c r="N368" s="106"/>
      <x:c r="O368" s="106"/>
      <x:c r="P368" s="116"/>
      <x:c r="Q368" s="213" t="n">
        <x:f>IF(C368="Wochenende",1,0)</x:f>
        <x:v>0</x:v>
      </x:c>
      <x:c r="R368" s="213" t="n">
        <x:f>IF(AND(B368&lt;&gt;"Betriebsferien",OR(WEEKDAY(A368,2)=2,WEEKDAY(A368,2)=4)),1,0)</x:f>
        <x:v>0</x:v>
      </x:c>
      <x:c r="S368" s="214" t="n">
        <x:f>R368*MIN(1,'00_Eingabe'!$B$62/'00_Eingabe'!$B$61)</x:f>
        <x:v>0</x:v>
      </x:c>
      <x:c r="T368" s="213" t="n">
        <x:f>IF(B368="Betriebsferien",0,IF(B368="Nebensaison",IF(OR(WEEKDAY(A368,2)=1,WEEKDAY(A368,2)=3,WEEKDAY(A368,2)=5),1,0),IF(C368="Unterwoche",1,0)))</x:f>
        <x:v>1</x:v>
      </x:c>
      <x:c r="U368" s="213" t="n">
        <x:f>IF(B368="Betriebsferien",0,'00_Eingabe'!$G$24)</x:f>
        <x:v>8</x:v>
      </x:c>
    </x:row>
    <x:row r="369">
      <x:c r="A369" s="121" t="str">
        <x:f>IF(ROW()-4&lt;DATE('00_Eingabe'!$B$7+1,1,1)-DATE('00_Eingabe'!$B$7,1,1),DATE('00_Eingabe'!$B$7,1,1)+ROW()-4,"")</x:f>
      </x:c>
      <x:c r="B369" s="122" t="str">
        <x:f>IF(A369="","",IF(OR(AND(MONTH(A369)=12,DAY(A369)&gt;=20),AND(MONTH(A369)=1,DAY(A369)&lt;=2)),"Weihnachten",IF(OR(AND(MONTH(A369)=11,DAY(A369)&gt;=24),AND(MONTH(A369)=12,DAY(A369)&lt;=7)),"Betriebsferien",IF(OR(AND(MONTH(A369)=1,DAY(A369)&gt;=3),MONTH(A369)=2,MONTH(A369)=3,MONTH(A369)=4,MONTH(A369)=10,MONTH(A369)=11,AND(MONTH(A369)=12,DAY(A369)&lt;=15)),"Nebensaison","Hauptsaison"))))</x:f>
      </x:c>
      <x:c r="C369" s="122" t="str">
        <x:f>IF(A369="","",IF(WEEKDAY(A369,2)&gt;=6,"Wochenende","Unterwoche"))</x:f>
      </x:c>
      <x:c r="D369" s="123" t="str">
        <x:f>IF(A369="","",IF(N369&lt;&gt;"",N369,IF(B369="Nebensaison",IF(C369="Wochenende",'00_Eingabe'!$C$24,'00_Eingabe'!$B$24),IF(B369="Hauptsaison",IF(C369="Wochenende",'00_Eingabe'!$C$25,'00_Eingabe'!$B$25),IF(B369="Weihnachten",IF(C369="Wochenende",'00_Eingabe'!$C$26,'00_Eingabe'!$B$26),IF(C369="Wochenende",'00_Eingabe'!$C$27,'00_Eingabe'!$B$27))))))</x:f>
      </x:c>
      <x:c r="E369" s="122" t="str">
        <x:f>IF(OR(A369="",D369=""),"",ROUND('00_Eingabe'!$B$8*D369,0))</x:f>
      </x:c>
      <x:c r="F369" s="122" t="str">
        <x:f>IF(E369="","",ROUND(E369*'00_Eingabe'!$B$18,0))</x:f>
      </x:c>
      <x:c r="G369" s="123" t="str">
        <x:f>IF(A369="","",IF(O369&lt;&gt;"",O369,IF(B369="Nebensaison",IF(C369="Wochenende",'00_Eingabe'!$E$24,'00_Eingabe'!$D$24),IF(B369="Hauptsaison",IF(C369="Wochenende",'00_Eingabe'!$E$25,'00_Eingabe'!$D$25),IF(B369="Weihnachten",IF(C369="Wochenende",'00_Eingabe'!$E$26,'00_Eingabe'!$D$26),IF(C369="Wochenende",'00_Eingabe'!$E$27,'00_Eingabe'!$D$27))))))</x:f>
      </x:c>
      <x:c r="H369" s="122" t="str">
        <x:f>IF(OR(A369="",G369=""),"",ROUND('00_Eingabe'!$B$9*G369,0))</x:f>
      </x:c>
      <x:c r="I369" s="122" t="str">
        <x:f>IF(H369="","",ROUND(H369*'00_Eingabe'!$B$19,0))</x:f>
      </x:c>
      <x:c r="J369" s="122" t="str">
        <x:f>IF(OR(F369="",I369=""),"",F369+I369)</x:f>
      </x:c>
      <x:c r="K369" s="122" t="str">
        <x:f>IF(J369="","",ROUND(J369*'00_Eingabe'!$B$16*(1+'00_Eingabe'!$B$14),0))</x:f>
      </x:c>
      <x:c r="L369" s="122" t="str">
        <x:f>IF(J369="","",ROUND(J369*'00_Eingabe'!$B$40,0)+IF(C369="Wochenende",'00_Eingabe'!$B$42,'00_Eingabe'!$B$41))</x:f>
      </x:c>
      <x:c r="M369" s="123" t="str">
        <x:f>IF(J369="","",ROUND(J369*'00_Eingabe'!$B$17*(1+'00_Eingabe'!$B$15),0))</x:f>
      </x:c>
      <x:c r="N369" s="106"/>
      <x:c r="O369" s="106"/>
      <x:c r="P369" s="116"/>
    </x:row>
  </x:sheetData>
  <x:mergeCells>
    <x:mergeCell ref="A1:O1"/>
    <x:mergeCell ref="A1:P1"/>
  </x:mergeCells>
  <x:dataValidations count="2">
    <x:dataValidation type="decimal" operator="between" sqref="M4:N369">
      <x:formula1>0</x:formula1>
      <x:formula2>1</x:formula2>
    </x:dataValidation>
    <x:dataValidation type="decimal" operator="between" sqref="N4:O369">
      <x:formula1>0</x:formula1>
      <x:formula2>1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3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44" hidden="0" customWidth="1"/>
    <x:col min="10" max="10" width="14" hidden="0" customWidth="1"/>
  </x:cols>
  <x:sheetData>
    <x:row r="1" ht="26" customHeight="1">
      <x:c r="A1" s="4" t="str">
        <x:v>Annahmen – nur Werte, die nicht direkt gemessen sind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8" customHeight="1">
      <x:c r="A3" s="26" t="str">
        <x:v>annahme_id</x:v>
      </x:c>
      <x:c r="B3" s="26" t="str">
        <x:v>bereich</x:v>
      </x:c>
      <x:c r="C3" s="26" t="str">
        <x:v>objekt_id</x:v>
      </x:c>
      <x:c r="D3" s="26" t="str">
        <x:v>parameter</x:v>
      </x:c>
      <x:c r="E3" s="26" t="str">
        <x:v>wert</x:v>
      </x:c>
      <x:c r="F3" s="26" t="str">
        <x:v>einheit</x:v>
      </x:c>
      <x:c r="G3" s="26" t="str">
        <x:v>min</x:v>
      </x:c>
      <x:c r="H3" s="26" t="str">
        <x:v>max</x:v>
      </x:c>
      <x:c r="I3" s="26" t="str">
        <x:v>quelle_begruendung</x:v>
      </x:c>
      <x:c r="J3" s="26" t="str">
        <x:v>unsicherheit</x:v>
      </x:c>
    </x:row>
    <x:row r="4">
      <x:c r="A4" s="32" t="str">
        <x:v>A001</x:v>
      </x:c>
      <x:c r="B4" s="32" t="str">
        <x:v>Verbraucher</x:v>
      </x:c>
      <x:c r="C4" s="32" t="str">
        <x:v>V_GAS_001</x:v>
      </x:c>
      <x:c r="D4" s="32" t="str">
        <x:v>mittlerer_lastfaktor</x:v>
      </x:c>
      <x:c r="E4" s="32" t="n">
        <x:v>0.55</x:v>
      </x:c>
      <x:c r="F4" s="32" t="str">
        <x:v>-</x:v>
      </x:c>
      <x:c r="G4" s="32" t="n">
        <x:v>0.4</x:v>
      </x:c>
      <x:c r="H4" s="32" t="n">
        <x:v>0.7</x:v>
      </x:c>
      <x:c r="I4" s="32" t="str">
        <x:v>Betreiber + Plausibilisierung</x:v>
      </x:c>
      <x:c r="J4" s="32" t="str">
        <x:v>mittel</x:v>
      </x:c>
    </x:row>
    <x:row r="5">
      <x:c r="A5" s="32" t="str">
        <x:v>A002</x:v>
      </x:c>
      <x:c r="B5" s="32" t="str">
        <x:v>Verbraucher</x:v>
      </x:c>
      <x:c r="C5" s="32" t="str">
        <x:v>V_GAS_001</x:v>
      </x:c>
      <x:c r="D5" s="32" t="str">
        <x:v>gleichzeitigkeitsfaktor</x:v>
      </x:c>
      <x:c r="E5" s="32" t="n">
        <x:v>0.7</x:v>
      </x:c>
      <x:c r="F5" s="32" t="str">
        <x:v>-</x:v>
      </x:c>
      <x:c r="G5" s="32" t="n">
        <x:v>0.5</x:v>
      </x:c>
      <x:c r="H5" s="32" t="n">
        <x:v>0.85</x:v>
      </x:c>
      <x:c r="I5" s="32" t="str">
        <x:v>Qualifizierte Annahme; vor Nutzung validieren</x:v>
      </x:c>
      <x:c r="J5" s="32" t="str">
        <x:v>niedrig</x:v>
      </x:c>
    </x:row>
    <x:row r="6">
      <x:c r="A6" s="32" t="str">
        <x:v>A003</x:v>
      </x:c>
      <x:c r="B6" s="32" t="str">
        <x:v>Verbrauchergruppe</x:v>
      </x:c>
      <x:c r="C6" s="32" t="str">
        <x:v>VG_ZIM</x:v>
      </x:c>
      <x:c r="D6" s="32" t="str">
        <x:v>variable_last_pro_belegtem_zimmer</x:v>
      </x:c>
      <x:c r="E6" s="32" t="n">
        <x:v>0.15</x:v>
      </x:c>
      <x:c r="F6" s="32" t="str">
        <x:v>kW/Zimmer</x:v>
      </x:c>
      <x:c r="G6" s="32" t="n">
        <x:v>0.08</x:v>
      </x:c>
      <x:c r="H6" s="32" t="n">
        <x:v>0.25</x:v>
      </x:c>
      <x:c r="I6" s="32" t="str">
        <x:v>Aus Referenzzimmer/Kalibrierung abzuleiten</x:v>
      </x:c>
      <x:c r="J6" s="32" t="str">
        <x:v>mittel</x:v>
      </x:c>
    </x:row>
    <x:row r="7">
      <x:c r="A7" s="154" t="str">
        <x:v>A_KIR_001</x:v>
      </x:c>
      <x:c r="B7" s="154" t="str">
        <x:v>Verbraucher</x:v>
      </x:c>
      <x:c r="C7" s="154" t="str">
        <x:v>V_KIR_002</x:v>
      </x:c>
      <x:c r="D7" s="154" t="str">
        <x:v>beleuchtungsleistung_flaechenbezogen</x:v>
      </x:c>
      <x:c r="E7" s="154" t="n">
        <x:v>5</x:v>
      </x:c>
      <x:c r="F7" s="154" t="str">
        <x:v>W/m²</x:v>
      </x:c>
      <x:c r="G7" s="154" t="n">
        <x:v>4</x:v>
      </x:c>
      <x:c r="H7" s="154" t="n">
        <x:v>7</x:v>
      </x:c>
      <x:c r="I7" s="154" t="str">
        <x:v>Pauschale Modellannahme für energieeffiziente LED-Beleuchtung; später über Bestand plausibilisieren</x:v>
      </x:c>
      <x:c r="J7" s="154" t="str">
        <x:v>mittel</x:v>
      </x:c>
    </x:row>
    <x:row r="8">
      <x:c r="A8" s="154" t="str">
        <x:v>A_KIR_002</x:v>
      </x:c>
      <x:c r="B8" s="154" t="str">
        <x:v>Verbrauchergruppe</x:v>
      </x:c>
      <x:c r="C8" s="154" t="str">
        <x:v>VG_KIR</x:v>
      </x:c>
      <x:c r="D8" s="154" t="str">
        <x:v>grundflaeche</x:v>
      </x:c>
      <x:c r="E8" s="154" t="n">
        <x:v>600</x:v>
      </x:c>
      <x:c r="F8" s="154" t="str">
        <x:v>m²</x:v>
      </x:c>
      <x:c r="G8" s="154"/>
      <x:c r="H8" s="154"/>
      <x:c r="I8" s="154" t="str">
        <x:v>Nutzerangabe; ca.-Wert</x:v>
      </x:c>
      <x:c r="J8" s="154" t="str">
        <x:v>hoch</x:v>
      </x:c>
    </x:row>
    <x:row r="9">
      <x:c r="A9" s="154" t="str">
        <x:v>A_KIR_003</x:v>
      </x:c>
      <x:c r="B9" s="154" t="str">
        <x:v>Verbraucher</x:v>
      </x:c>
      <x:c r="C9" s="154" t="str">
        <x:v>V_KIR_003</x:v>
      </x:c>
      <x:c r="D9" s="154" t="str">
        <x:v>anschlussleistung_einbaukueche</x:v>
      </x:c>
      <x:c r="E9" s="154" t="n">
        <x:v>11</x:v>
      </x:c>
      <x:c r="F9" s="154" t="str">
        <x:v>kW/Küche</x:v>
      </x:c>
      <x:c r="G9" s="154" t="n">
        <x:v>8</x:v>
      </x:c>
      <x:c r="H9" s="154" t="n">
        <x:v>14</x:v>
      </x:c>
      <x:c r="I9" s="154" t="str">
        <x:v>KISS-Pauschale für normales Kochfeld + Backofen + übliche Kleingeräte</x:v>
      </x:c>
      <x:c r="J9" s="154" t="str">
        <x:v>niedrig</x:v>
      </x:c>
    </x:row>
    <x:row r="10">
      <x:c r="A10" s="154" t="str">
        <x:v>A_KIR_004</x:v>
      </x:c>
      <x:c r="B10" s="154" t="str">
        <x:v>Verbraucher</x:v>
      </x:c>
      <x:c r="C10" s="154" t="str">
        <x:v>V_KIR_004</x:v>
      </x:c>
      <x:c r="D10" s="154" t="str">
        <x:v>leistung_geschirrspueler</x:v>
      </x:c>
      <x:c r="E10" s="154" t="n">
        <x:v>2</x:v>
      </x:c>
      <x:c r="F10" s="154" t="str">
        <x:v>kW/Gerät</x:v>
      </x:c>
      <x:c r="G10" s="154" t="n">
        <x:v>1.8</x:v>
      </x:c>
      <x:c r="H10" s="154" t="n">
        <x:v>2.4</x:v>
      </x:c>
      <x:c r="I10" s="154" t="str">
        <x:v>Pauschale für üblichen Haushaltsgeschirrspüler</x:v>
      </x:c>
      <x:c r="J10" s="154" t="str">
        <x:v>mittel</x:v>
      </x:c>
    </x:row>
    <x:row r="11">
      <x:c r="A11" s="162" t="str">
        <x:v>A_GAS_001</x:v>
      </x:c>
      <x:c r="B11" s="162" t="str">
        <x:v>Verbrauchergruppe</x:v>
      </x:c>
      <x:c r="C11" s="162" t="str">
        <x:v>VG_GAS</x:v>
      </x:c>
      <x:c r="D11" s="162" t="str">
        <x:v>gleichzeitigkeitsfaktor_standard</x:v>
      </x:c>
      <x:c r="E11" s="162" t="n">
        <x:v>0.45</x:v>
      </x:c>
      <x:c r="F11" s="162" t="str">
        <x:v>-</x:v>
      </x:c>
      <x:c r="G11" s="162" t="n">
        <x:v>0.55</x:v>
      </x:c>
      <x:c r="H11" s="162" t="n">
        <x:v>0.85</x:v>
      </x:c>
      <x:c r="I11" s="162" t="str">
        <x:v>Startwert für parallele Küchenverbraucher; später gegen Messlastgang kalibrieren</x:v>
      </x:c>
      <x:c r="J11" s="162" t="str">
        <x:v>niedrig</x:v>
      </x:c>
    </x:row>
    <x:row r="12">
      <x:c r="A12" s="162" t="str">
        <x:v>A_GAS_002</x:v>
      </x:c>
      <x:c r="B12" s="162" t="str">
        <x:v>Verbraucher</x:v>
      </x:c>
      <x:c r="C12" s="162" t="str">
        <x:v>V_GAS_003</x:v>
      </x:c>
      <x:c r="D12" s="162" t="str">
        <x:v>lastfaktor_induktion</x:v>
      </x:c>
      <x:c r="E12" s="162" t="n">
        <x:v>0.3</x:v>
      </x:c>
      <x:c r="F12" s="162" t="str">
        <x:v>-</x:v>
      </x:c>
      <x:c r="G12" s="162" t="n">
        <x:v>0.4</x:v>
      </x:c>
      <x:c r="H12" s="162" t="n">
        <x:v>0.85</x:v>
      </x:c>
      <x:c r="I12" s="162" t="str">
        <x:v>Qualifizierte Modellannahme</x:v>
      </x:c>
      <x:c r="J12" s="162" t="str">
        <x:v>niedrig</x:v>
      </x:c>
    </x:row>
    <x:row r="13">
      <x:c r="A13" s="162" t="str">
        <x:v>A_GAS_003</x:v>
      </x:c>
      <x:c r="B13" s="162" t="str">
        <x:v>Verbraucher</x:v>
      </x:c>
      <x:c r="C13" s="162" t="str">
        <x:v>V_GAS_004</x:v>
      </x:c>
      <x:c r="D13" s="162" t="str">
        <x:v>lastfaktor_spuelmaschine</x:v>
      </x:c>
      <x:c r="E13" s="162" t="n">
        <x:v>0.35</x:v>
      </x:c>
      <x:c r="F13" s="162" t="str">
        <x:v>-</x:v>
      </x:c>
      <x:c r="G13" s="162" t="n">
        <x:v>0.5</x:v>
      </x:c>
      <x:c r="H13" s="162" t="n">
        <x:v>0.9</x:v>
      </x:c>
      <x:c r="I13" s="162" t="str">
        <x:v>Qualifizierte Modellannahme</x:v>
      </x:c>
      <x:c r="J13" s="162" t="str">
        <x:v>niedrig</x:v>
      </x:c>
    </x:row>
    <x:row r="14">
      <x:c r="A14" s="162" t="str">
        <x:v>A_GAS_004</x:v>
      </x:c>
      <x:c r="B14" s="162" t="str">
        <x:v>Verbraucher</x:v>
      </x:c>
      <x:c r="C14" s="162" t="str">
        <x:v>V_GAS_005</x:v>
      </x:c>
      <x:c r="D14" s="162" t="str">
        <x:v>lastfaktor_ruehrtechnik</x:v>
      </x:c>
      <x:c r="E14" s="162" t="n">
        <x:v>0.2</x:v>
      </x:c>
      <x:c r="F14" s="162" t="str">
        <x:v>-</x:v>
      </x:c>
      <x:c r="G14" s="162" t="n">
        <x:v>0.2</x:v>
      </x:c>
      <x:c r="H14" s="162" t="n">
        <x:v>0.7</x:v>
      </x:c>
      <x:c r="I14" s="162" t="str">
        <x:v>Qualifizierte Modellannahme</x:v>
      </x:c>
      <x:c r="J14" s="162" t="str">
        <x:v>niedrig</x:v>
      </x:c>
    </x:row>
    <x:row r="15">
      <x:c r="A15" s="162" t="str">
        <x:v>A_GAS_005</x:v>
      </x:c>
      <x:c r="B15" s="162" t="str">
        <x:v>Verbraucher</x:v>
      </x:c>
      <x:c r="C15" s="162" t="str">
        <x:v>V_GAS_006</x:v>
      </x:c>
      <x:c r="D15" s="162" t="str">
        <x:v>lastfaktor_kuehlung_lebensmittel</x:v>
      </x:c>
      <x:c r="E15" s="162" t="n">
        <x:v>0.25</x:v>
      </x:c>
      <x:c r="F15" s="162" t="str">
        <x:v>-</x:v>
      </x:c>
      <x:c r="G15" s="162" t="n">
        <x:v>0.3</x:v>
      </x:c>
      <x:c r="H15" s="162" t="n">
        <x:v>0.7</x:v>
      </x:c>
      <x:c r="I15" s="162" t="str">
        <x:v>24-h-Kühlung, Taktbetrieb; später kalibrieren</x:v>
      </x:c>
      <x:c r="J15" s="162" t="str">
        <x:v>niedrig</x:v>
      </x:c>
    </x:row>
    <x:row r="16">
      <x:c r="A16" s="162" t="str">
        <x:v>A_GAS_006</x:v>
      </x:c>
      <x:c r="B16" s="162" t="str">
        <x:v>Verbraucher</x:v>
      </x:c>
      <x:c r="C16" s="162" t="str">
        <x:v>V_GAS_007</x:v>
      </x:c>
      <x:c r="D16" s="162" t="str">
        <x:v>lastfaktor_tiefkuehlung</x:v>
      </x:c>
      <x:c r="E16" s="162" t="n">
        <x:v>0.32</x:v>
      </x:c>
      <x:c r="F16" s="162" t="str">
        <x:v>-</x:v>
      </x:c>
      <x:c r="G16" s="162" t="n">
        <x:v>0.4</x:v>
      </x:c>
      <x:c r="H16" s="162" t="n">
        <x:v>0.8</x:v>
      </x:c>
      <x:c r="I16" s="162" t="str">
        <x:v>24-h-Tiefkühlung, Taktbetrieb; später kalibrieren</x:v>
      </x:c>
      <x:c r="J16" s="162" t="str">
        <x:v>niedrig</x:v>
      </x:c>
    </x:row>
    <x:row r="17">
      <x:c r="A17" s="162" t="str">
        <x:v>A_GAS_007</x:v>
      </x:c>
      <x:c r="B17" s="162" t="str">
        <x:v>Verbraucher</x:v>
      </x:c>
      <x:c r="C17" s="162" t="str">
        <x:v>V_GAS_008</x:v>
      </x:c>
      <x:c r="D17" s="162" t="str">
        <x:v>leistung_waermetisch</x:v>
      </x:c>
      <x:c r="E17" s="162" t="n">
        <x:v>2</x:v>
      </x:c>
      <x:c r="F17" s="162" t="str">
        <x:v>kW/Gerät</x:v>
      </x:c>
      <x:c r="G17" s="162" t="n">
        <x:v>1.5</x:v>
      </x:c>
      <x:c r="H17" s="162" t="n">
        <x:v>3</x:v>
      </x:c>
      <x:c r="I17" s="162" t="str">
        <x:v>Pauschalwert mangels Typenschild</x:v>
      </x:c>
      <x:c r="J17" s="162" t="str">
        <x:v>niedrig</x:v>
      </x:c>
    </x:row>
    <x:row r="18">
      <x:c r="A18" s="162" t="str">
        <x:v>A_GAS_008</x:v>
      </x:c>
      <x:c r="B18" s="162" t="str">
        <x:v>Verbraucher</x:v>
      </x:c>
      <x:c r="C18" s="162" t="str">
        <x:v>V_GAS_009</x:v>
      </x:c>
      <x:c r="D18" s="162" t="str">
        <x:v>leistung_warmhaltebecken</x:v>
      </x:c>
      <x:c r="E18" s="162" t="n">
        <x:v>1.5</x:v>
      </x:c>
      <x:c r="F18" s="162" t="str">
        <x:v>kW/Gerät</x:v>
      </x:c>
      <x:c r="G18" s="162" t="n">
        <x:v>1</x:v>
      </x:c>
      <x:c r="H18" s="162" t="n">
        <x:v>2.5</x:v>
      </x:c>
      <x:c r="I18" s="162" t="str">
        <x:v>Pauschalwert mangels Typenschild</x:v>
      </x:c>
      <x:c r="J18" s="162" t="str">
        <x:v>niedrig</x:v>
      </x:c>
    </x:row>
    <x:row r="19">
      <x:c r="A19" s="162" t="str">
        <x:v>A_GAS_009</x:v>
      </x:c>
      <x:c r="B19" s="162" t="str">
        <x:v>Verbraucher</x:v>
      </x:c>
      <x:c r="C19" s="162" t="str">
        <x:v>V_GAS_010</x:v>
      </x:c>
      <x:c r="D19" s="162" t="str">
        <x:v>leistung_tischwaermer</x:v>
      </x:c>
      <x:c r="E19" s="162" t="n">
        <x:v>1</x:v>
      </x:c>
      <x:c r="F19" s="162" t="str">
        <x:v>kW</x:v>
      </x:c>
      <x:c r="G19" s="162" t="n">
        <x:v>0.5</x:v>
      </x:c>
      <x:c r="H19" s="162" t="n">
        <x:v>2</x:v>
      </x:c>
      <x:c r="I19" s="162" t="str">
        <x:v>Pauschalwert mangels Typenschild</x:v>
      </x:c>
      <x:c r="J19" s="162" t="str">
        <x:v>niedrig</x:v>
      </x:c>
    </x:row>
    <x:row r="20">
      <x:c r="A20" s="162" t="str">
        <x:v>A_GAS_010</x:v>
      </x:c>
      <x:c r="B20" s="162" t="str">
        <x:v>Verbraucher</x:v>
      </x:c>
      <x:c r="C20" s="162" t="str">
        <x:v>V_GAS_011</x:v>
      </x:c>
      <x:c r="D20" s="162" t="str">
        <x:v>leistung_zubehoertechnik</x:v>
      </x:c>
      <x:c r="E20" s="162" t="n">
        <x:v>2</x:v>
      </x:c>
      <x:c r="F20" s="162" t="str">
        <x:v>kW</x:v>
      </x:c>
      <x:c r="G20" s="162" t="n">
        <x:v>1</x:v>
      </x:c>
      <x:c r="H20" s="162" t="n">
        <x:v>4</x:v>
      </x:c>
      <x:c r="I20" s="162" t="str">
        <x:v>Pauschalwert für sonstige Kleingeräte; Rührtechnik separat erfasst</x:v>
      </x:c>
      <x:c r="J20" s="162" t="str">
        <x:v>niedrig</x:v>
      </x:c>
    </x:row>
    <x:row r="21">
      <x:c r="A21" s="169" t="str">
        <x:v>A_WEL_001</x:v>
      </x:c>
      <x:c r="B21" s="169" t="str">
        <x:v>Verbrauchergruppe</x:v>
      </x:c>
      <x:c r="C21" s="169" t="str">
        <x:v>VG_WEL</x:v>
      </x:c>
      <x:c r="D21" s="169" t="str">
        <x:v>gleichzeitigkeitsfaktor_standard</x:v>
      </x:c>
      <x:c r="E21" s="169" t="n">
        <x:v>0.65</x:v>
      </x:c>
      <x:c r="F21" s="169" t="str">
        <x:v>-</x:v>
      </x:c>
      <x:c r="G21" s="169" t="n">
        <x:v>0.6</x:v>
      </x:c>
      <x:c r="H21" s="169" t="n">
        <x:v>0.9</x:v>
      </x:c>
      <x:c r="I21" s="169" t="str">
        <x:v>Startwert für parallel nutzbare Wellnessverbraucher; später kalibrieren</x:v>
      </x:c>
      <x:c r="J21" s="169" t="str">
        <x:v>niedrig</x:v>
      </x:c>
    </x:row>
    <x:row r="22">
      <x:c r="A22" s="169" t="str">
        <x:v>A_WEL_002</x:v>
      </x:c>
      <x:c r="B22" s="169" t="str">
        <x:v>Verbraucher</x:v>
      </x:c>
      <x:c r="C22" s="169" t="str">
        <x:v>V_WEL_001</x:v>
      </x:c>
      <x:c r="D22" s="169" t="str">
        <x:v>lastfaktor_saunen</x:v>
      </x:c>
      <x:c r="E22" s="169" t="n">
        <x:v>0.5</x:v>
      </x:c>
      <x:c r="F22" s="169" t="str">
        <x:v>-</x:v>
      </x:c>
      <x:c r="G22" s="169" t="n">
        <x:v>0.5</x:v>
      </x:c>
      <x:c r="H22" s="169" t="n">
        <x:v>0.9</x:v>
      </x:c>
      <x:c r="I22" s="169" t="str">
        <x:v>Taktender Heizbetrieb nach Aufheizphase</x:v>
      </x:c>
      <x:c r="J22" s="169" t="str">
        <x:v>mittel</x:v>
      </x:c>
    </x:row>
    <x:row r="23">
      <x:c r="A23" s="169" t="str">
        <x:v>A_WEL_003</x:v>
      </x:c>
      <x:c r="B23" s="169" t="str">
        <x:v>Verbraucher</x:v>
      </x:c>
      <x:c r="C23" s="169" t="str">
        <x:v>V_WEL_002</x:v>
      </x:c>
      <x:c r="D23" s="169" t="str">
        <x:v>lastfaktor_dampfbad</x:v>
      </x:c>
      <x:c r="E23" s="169" t="n">
        <x:v>0.45</x:v>
      </x:c>
      <x:c r="F23" s="169" t="str">
        <x:v>-</x:v>
      </x:c>
      <x:c r="G23" s="169" t="n">
        <x:v>0.45</x:v>
      </x:c>
      <x:c r="H23" s="169" t="n">
        <x:v>0.85</x:v>
      </x:c>
      <x:c r="I23" s="169" t="str">
        <x:v>Pauschaler Takt-/Teillastansatz</x:v>
      </x:c>
      <x:c r="J23" s="169" t="str">
        <x:v>niedrig</x:v>
      </x:c>
    </x:row>
    <x:row r="24">
      <x:c r="A24" s="169" t="str">
        <x:v>A_WEL_004</x:v>
      </x:c>
      <x:c r="B24" s="169" t="str">
        <x:v>Verbraucher</x:v>
      </x:c>
      <x:c r="C24" s="169" t="str">
        <x:v>V_WEL_004</x:v>
      </x:c>
      <x:c r="D24" s="169" t="str">
        <x:v>beleuchtungsleistung_flaechenbezogen</x:v>
      </x:c>
      <x:c r="E24" s="169" t="n">
        <x:v>5</x:v>
      </x:c>
      <x:c r="F24" s="169" t="str">
        <x:v>W/m²</x:v>
      </x:c>
      <x:c r="G24" s="169" t="n">
        <x:v>4</x:v>
      </x:c>
      <x:c r="H24" s="169" t="n">
        <x:v>7</x:v>
      </x:c>
      <x:c r="I24" s="169" t="str">
        <x:v>Pauschalansatz für effiziente LED-Beleuchtung auf ca. 200 m²</x:v>
      </x:c>
      <x:c r="J24" s="169" t="str">
        <x:v>mittel</x:v>
      </x:c>
    </x:row>
    <x:row r="25">
      <x:c r="A25" s="169" t="str">
        <x:v>A_WEL_005</x:v>
      </x:c>
      <x:c r="B25" s="169" t="str">
        <x:v>Verbraucher</x:v>
      </x:c>
      <x:c r="C25" s="169" t="str">
        <x:v>V_WEL_005</x:v>
      </x:c>
      <x:c r="D25" s="169" t="str">
        <x:v>anschlussleistung_fitnessgeraete</x:v>
      </x:c>
      <x:c r="E25" s="169" t="n">
        <x:v>3</x:v>
      </x:c>
      <x:c r="F25" s="169" t="str">
        <x:v>kW</x:v>
      </x:c>
      <x:c r="G25" s="169" t="n">
        <x:v>2</x:v>
      </x:c>
      <x:c r="H25" s="169" t="n">
        <x:v>5</x:v>
      </x:c>
      <x:c r="I25" s="169" t="str">
        <x:v>Pauschalblock für Laufband und weitere Fitnessgeräte</x:v>
      </x:c>
      <x:c r="J25" s="169" t="str">
        <x:v>niedrig</x:v>
      </x:c>
    </x:row>
    <x:row r="26">
      <x:c r="A26" s="169" t="str">
        <x:v>A_WEL_006</x:v>
      </x:c>
      <x:c r="B26" s="169" t="str">
        <x:v>Verbraucher</x:v>
      </x:c>
      <x:c r="C26" s="169" t="str">
        <x:v>V_WEL_006</x:v>
      </x:c>
      <x:c r="D26" s="169" t="str">
        <x:v>leistung_massageliege</x:v>
      </x:c>
      <x:c r="E26" s="169" t="n">
        <x:v>0.2</x:v>
      </x:c>
      <x:c r="F26" s="169" t="str">
        <x:v>kW</x:v>
      </x:c>
      <x:c r="G26" s="169" t="n">
        <x:v>0.1</x:v>
      </x:c>
      <x:c r="H26" s="169" t="n">
        <x:v>0.4</x:v>
      </x:c>
      <x:c r="I26" s="169" t="str">
        <x:v>Pauschalansatz für elektrisch verstell-/beheizbare Liege</x:v>
      </x:c>
      <x:c r="J26" s="169" t="str">
        <x:v>niedrig</x:v>
      </x:c>
    </x:row>
    <x:row r="27">
      <x:c r="A27" s="169" t="str">
        <x:v>A_WEL_007</x:v>
      </x:c>
      <x:c r="B27" s="169" t="str">
        <x:v>Verbraucher</x:v>
      </x:c>
      <x:c r="C27" s="169" t="str">
        <x:v>V_WEL_007</x:v>
      </x:c>
      <x:c r="D27" s="169" t="str">
        <x:v>leistung_schwimmbad_grundtechnik</x:v>
      </x:c>
      <x:c r="E27" s="169" t="n">
        <x:v>3.5</x:v>
      </x:c>
      <x:c r="F27" s="169" t="str">
        <x:v>kW</x:v>
      </x:c>
      <x:c r="G27" s="169" t="n">
        <x:v>2</x:v>
      </x:c>
      <x:c r="H27" s="169" t="n">
        <x:v>5.5</x:v>
      </x:c>
      <x:c r="I27" s="169" t="str">
        <x:v>Pauschalwert für 12×5-m-Hotelbecken. Herstellerbeispiele BADU Resort liegen je nach Ausführung etwa im Bereich 1,5–5,5 kW. https://cms.speck-pumps.com/product-file/BADU_privat_Katalog_EN_ab-01012025.pdf</x:v>
      </x:c>
      <x:c r="J27" s="169" t="str">
        <x:v>niedrig</x:v>
      </x:c>
    </x:row>
    <x:row r="28">
      <x:c r="A28" s="169" t="str">
        <x:v>A_WEL_008</x:v>
      </x:c>
      <x:c r="B28" s="169" t="str">
        <x:v>Verbraucher</x:v>
      </x:c>
      <x:c r="C28" s="169" t="str">
        <x:v>V_WEL_007</x:v>
      </x:c>
      <x:c r="D28" s="169" t="str">
        <x:v>lastfaktor_schwimmbad_grundtechnik</x:v>
      </x:c>
      <x:c r="E28" s="169" t="n">
        <x:v>0.8</x:v>
      </x:c>
      <x:c r="F28" s="169" t="str">
        <x:v>-</x:v>
      </x:c>
      <x:c r="G28" s="169" t="n">
        <x:v>0.6</x:v>
      </x:c>
      <x:c r="H28" s="169" t="n">
        <x:v>1</x:v>
      </x:c>
      <x:c r="I28" s="169" t="str">
        <x:v>24-h-Betrieb mit möglicher Drehzahl-/Teillastregelung</x:v>
      </x:c>
      <x:c r="J28" s="169" t="str">
        <x:v>niedrig</x:v>
      </x:c>
    </x:row>
    <x:row r="29">
      <x:c r="A29" s="169" t="str">
        <x:v>A_WEL_009</x:v>
      </x:c>
      <x:c r="B29" s="169" t="str">
        <x:v>Verbraucher</x:v>
      </x:c>
      <x:c r="C29" s="169" t="str">
        <x:v>V_WEL_008</x:v>
      </x:c>
      <x:c r="D29" s="169" t="str">
        <x:v>leistung_attraktionspumpen</x:v>
      </x:c>
      <x:c r="E29" s="169" t="n">
        <x:v>5.5</x:v>
      </x:c>
      <x:c r="F29" s="169" t="str">
        <x:v>kW</x:v>
      </x:c>
      <x:c r="G29" s="169" t="n">
        <x:v>3</x:v>
      </x:c>
      <x:c r="H29" s="169" t="n">
        <x:v>8</x:v>
      </x:c>
      <x:c r="I29" s="169" t="str">
        <x:v>Pauschalblock für Nackenschwall und Massagedüsen; Größenordnung orientiert an Pumpen für Wasserattraktionen/SwimJet-Systeme. https://cms.speck-pumps.com/product-file/BADU_privat_Katalog_EN_ab-01012025.pdf</x:v>
      </x:c>
      <x:c r="J29" s="169" t="str">
        <x:v>niedrig</x:v>
      </x:c>
    </x:row>
    <x:row r="30">
      <x:c r="A30" s="169" t="str">
        <x:v>A_WEL_010</x:v>
      </x:c>
      <x:c r="B30" s="169" t="str">
        <x:v>Verbraucher</x:v>
      </x:c>
      <x:c r="C30" s="169" t="str">
        <x:v>V_WEL_008</x:v>
      </x:c>
      <x:c r="D30" s="169" t="str">
        <x:v>lastfaktor_attraktionen</x:v>
      </x:c>
      <x:c r="E30" s="169" t="n">
        <x:v>0.3</x:v>
      </x:c>
      <x:c r="F30" s="169" t="str">
        <x:v>-</x:v>
      </x:c>
      <x:c r="G30" s="169" t="n">
        <x:v>0.2</x:v>
      </x:c>
      <x:c r="H30" s="169" t="n">
        <x:v>0.8</x:v>
      </x:c>
      <x:c r="I30" s="169" t="str">
        <x:v>Attraktionen laufen nur zeitweise innerhalb der Wellness-Öffnungszeit</x:v>
      </x:c>
      <x:c r="J30" s="169" t="str">
        <x:v>niedrig</x:v>
      </x:c>
    </x:row>
    <x:row r="31">
      <x:c r="A31" s="172" t="str">
        <x:v>A_TAG_001</x:v>
      </x:c>
      <x:c r="B31" s="172" t="str">
        <x:v>Verbrauchergruppe</x:v>
      </x:c>
      <x:c r="C31" s="172" t="str">
        <x:v>VG_TAG</x:v>
      </x:c>
      <x:c r="D31" s="172" t="str">
        <x:v>gleichzeitigkeitsfaktor_standard</x:v>
      </x:c>
      <x:c r="E31" s="172" t="n">
        <x:v>0.8</x:v>
      </x:c>
      <x:c r="F31" s="172" t="str">
        <x:v>-</x:v>
      </x:c>
      <x:c r="G31" s="172" t="n">
        <x:v>0.65</x:v>
      </x:c>
      <x:c r="H31" s="172" t="n">
        <x:v>0.95</x:v>
      </x:c>
      <x:c r="I31" s="172" t="str">
        <x:v>Startwert für parallele Tagungsverbraucher; später kalibrieren</x:v>
      </x:c>
      <x:c r="J31" s="172" t="str">
        <x:v>niedrig</x:v>
      </x:c>
    </x:row>
    <x:row r="32">
      <x:c r="A32" s="172" t="str">
        <x:v>A_TAG_002</x:v>
      </x:c>
      <x:c r="B32" s="172" t="str">
        <x:v>Verbraucher</x:v>
      </x:c>
      <x:c r="C32" s="172" t="str">
        <x:v>V_TAG_001</x:v>
      </x:c>
      <x:c r="D32" s="172" t="str">
        <x:v>beleuchtungsleistung_flaechenbezogen</x:v>
      </x:c>
      <x:c r="E32" s="172" t="n">
        <x:v>5</x:v>
      </x:c>
      <x:c r="F32" s="172" t="str">
        <x:v>W/m²</x:v>
      </x:c>
      <x:c r="G32" s="172" t="n">
        <x:v>4</x:v>
      </x:c>
      <x:c r="H32" s="172" t="n">
        <x:v>7</x:v>
      </x:c>
      <x:c r="I32" s="172" t="str">
        <x:v>Pauschalansatz effiziente LED-Beleuchtung</x:v>
      </x:c>
      <x:c r="J32" s="172" t="str">
        <x:v>mittel</x:v>
      </x:c>
    </x:row>
    <x:row r="33">
      <x:c r="A33" s="172" t="str">
        <x:v>A_TAG_003</x:v>
      </x:c>
      <x:c r="B33" s="172" t="str">
        <x:v>Verbraucher</x:v>
      </x:c>
      <x:c r="C33" s="172" t="str">
        <x:v>V_TAG_002</x:v>
      </x:c>
      <x:c r="D33" s="172" t="str">
        <x:v>leistung_laptop_netzteil</x:v>
      </x:c>
      <x:c r="E33" s="172" t="n">
        <x:v>0.065</x:v>
      </x:c>
      <x:c r="F33" s="172" t="str">
        <x:v>kW/Arbeitsplatz</x:v>
      </x:c>
      <x:c r="G33" s="172" t="n">
        <x:v>0.045</x:v>
      </x:c>
      <x:c r="H33" s="172" t="n">
        <x:v>0.1</x:v>
      </x:c>
      <x:c r="I33" s="172" t="str">
        <x:v>Pauschale für typische Laptop-Netzteile; reale mittlere Aufnahme über Lastfaktor reduziert</x:v>
      </x:c>
      <x:c r="J33" s="172" t="str">
        <x:v>mittel</x:v>
      </x:c>
    </x:row>
    <x:row r="34">
      <x:c r="A34" s="172" t="str">
        <x:v>A_TAG_004</x:v>
      </x:c>
      <x:c r="B34" s="172" t="str">
        <x:v>Verbraucher</x:v>
      </x:c>
      <x:c r="C34" s="172" t="str">
        <x:v>V_TAG_003</x:v>
      </x:c>
      <x:c r="D34" s="172" t="str">
        <x:v>leistung_medientechnik_je_raum</x:v>
      </x:c>
      <x:c r="E34" s="172" t="n">
        <x:v>0.5</x:v>
      </x:c>
      <x:c r="F34" s="172" t="str">
        <x:v>kW/Raum</x:v>
      </x:c>
      <x:c r="G34" s="172" t="n">
        <x:v>0.3</x:v>
      </x:c>
      <x:c r="H34" s="172" t="n">
        <x:v>1</x:v>
      </x:c>
      <x:c r="I34" s="172" t="str">
        <x:v>Pauschale für Display/Beamer, Audio und Präsentationstechnik</x:v>
      </x:c>
      <x:c r="J34" s="172" t="str">
        <x:v>niedrig</x:v>
      </x:c>
    </x:row>
    <x:row r="35">
      <x:c r="A35" s="172" t="str">
        <x:v>A_TAG_005</x:v>
      </x:c>
      <x:c r="B35" s="172" t="str">
        <x:v>Verbraucher</x:v>
      </x:c>
      <x:c r="C35" s="172" t="str">
        <x:v>V_TAG_004</x:v>
      </x:c>
      <x:c r="D35" s="172" t="str">
        <x:v>leistung_split_elektrisch</x:v>
      </x:c>
      <x:c r="E35" s="172" t="n">
        <x:v>1.5</x:v>
      </x:c>
      <x:c r="F35" s="172" t="str">
        <x:v>kW/Gerät</x:v>
      </x:c>
      <x:c r="G35" s="172" t="n">
        <x:v>1.3</x:v>
      </x:c>
      <x:c r="H35" s="172" t="n">
        <x:v>2</x:v>
      </x:c>
      <x:c r="I35" s="172" t="str">
        <x:v>Vorläufige Annahme bis genaue SCM66-Typbezeichnung vorliegt; vergleichbare Mitsubishi-Heavy-SCM-Geräte ca. 1,4–1,6 kW nominale Kühlaufnahme. https://www.mhi.com/group/maco/products/downloads/pdf/sr_series_2022.pdf</x:v>
      </x:c>
      <x:c r="J35" s="172" t="str">
        <x:v>niedrig</x:v>
      </x:c>
    </x:row>
    <x:row r="36">
      <x:c r="A36" s="172" t="str">
        <x:v>A_TAG_006</x:v>
      </x:c>
      <x:c r="B36" s="172" t="str">
        <x:v>Verbrauchergruppe</x:v>
      </x:c>
      <x:c r="C36" s="172" t="str">
        <x:v>VG_TAG</x:v>
      </x:c>
      <x:c r="D36" s="172" t="str">
        <x:v>max_arbeitsplaetze</x:v>
      </x:c>
      <x:c r="E36" s="172" t="n">
        <x:v>120</x:v>
      </x:c>
      <x:c r="F36" s="172" t="str">
        <x:v>Personen</x:v>
      </x:c>
      <x:c r="G36" s="172" t="n">
        <x:v>120</x:v>
      </x:c>
      <x:c r="H36" s="172" t="n">
        <x:v>120</x:v>
      </x:c>
      <x:c r="I36" s="172" t="str">
        <x:v>4 Tagungsräume × 30 Arbeitsplätze</x:v>
      </x:c>
      <x:c r="J36" s="172" t="str">
        <x:v>hoch</x:v>
      </x:c>
    </x:row>
    <x:row r="37">
      <x:c r="A37" s="176" t="str">
        <x:v>A_HAW_001</x:v>
      </x:c>
      <x:c r="B37" s="176" t="str">
        <x:v>Verbraucher</x:v>
      </x:c>
      <x:c r="C37" s="176" t="str">
        <x:v>V_HAW_001</x:v>
      </x:c>
      <x:c r="D37" s="176" t="str">
        <x:v>gesamtanschluss_pwm912</x:v>
      </x:c>
      <x:c r="E37" s="176" t="n">
        <x:v>9.6</x:v>
      </x:c>
      <x:c r="F37" s="176" t="str">
        <x:v>kW</x:v>
      </x:c>
      <x:c r="G37" s="176" t="n">
        <x:v>9.6</x:v>
      </x:c>
      <x:c r="H37" s="176" t="n">
        <x:v>9.6</x:v>
      </x:c>
      <x:c r="I37" s="176" t="str">
        <x:v>Miele PWM 912 [EL], 3N AC 400 V: Gesamtanschluss 9,6 kW. https://media.miele.com/downloads/e-/de/FS_11778000_DED_DE-de-DE.pdf</x:v>
      </x:c>
      <x:c r="J37" s="176" t="str">
        <x:v>hoch</x:v>
      </x:c>
    </x:row>
    <x:row r="38">
      <x:c r="A38" s="176" t="str">
        <x:v>A_HAW_002</x:v>
      </x:c>
      <x:c r="B38" s="176" t="str">
        <x:v>Verbraucher</x:v>
      </x:c>
      <x:c r="C38" s="176" t="str">
        <x:v>V_HAW_001</x:v>
      </x:c>
      <x:c r="D38" s="176" t="str">
        <x:v>lastfaktor_pwm912</x:v>
      </x:c>
      <x:c r="E38" s="176" t="n">
        <x:v>0.22</x:v>
      </x:c>
      <x:c r="F38" s="176" t="str">
        <x:v>-</x:v>
      </x:c>
      <x:c r="G38" s="176" t="n">
        <x:v>0.15</x:v>
      </x:c>
      <x:c r="H38" s="176" t="n">
        <x:v>0.35</x:v>
      </x:c>
      <x:c r="I38" s="176" t="str">
        <x:v>Aus Herstellerprogramm grob abgeleitet: 1,68 kWh in 49 min entspricht ca. 2,06 kW mittlerer Leistung bei 9,6 kW Anschluss</x:v>
      </x:c>
      <x:c r="J38" s="176" t="str">
        <x:v>mittel</x:v>
      </x:c>
    </x:row>
    <x:row r="39">
      <x:c r="A39" s="176" t="str">
        <x:v>A_HAW_003</x:v>
      </x:c>
      <x:c r="B39" s="176" t="str">
        <x:v>Verbraucher</x:v>
      </x:c>
      <x:c r="C39" s="176" t="str">
        <x:v>V_HAW_003</x:v>
      </x:c>
      <x:c r="D39" s="176" t="str">
        <x:v>gesamtanschluss_pwm508</x:v>
      </x:c>
      <x:c r="E39" s="176" t="n">
        <x:v>5.5</x:v>
      </x:c>
      <x:c r="F39" s="176" t="str">
        <x:v>kW</x:v>
      </x:c>
      <x:c r="G39" s="176" t="n">
        <x:v>5.5</x:v>
      </x:c>
      <x:c r="H39" s="176" t="n">
        <x:v>5.5</x:v>
      </x:c>
      <x:c r="I39" s="176" t="str">
        <x:v>Miele PWM 508, Standard 2N~400 V: Gesamtanschluss 5,5 kW. https://www.miele.de/product/11898770/professional-waschmaschine-kleiner-riese-elektrobeheizt-mit-ablaufpumpe-pwm-508-el-dp-1</x:v>
      </x:c>
      <x:c r="J39" s="176" t="str">
        <x:v>hoch</x:v>
      </x:c>
    </x:row>
    <x:row r="40">
      <x:c r="A40" s="176" t="str">
        <x:v>A_HAW_004</x:v>
      </x:c>
      <x:c r="B40" s="176" t="str">
        <x:v>Verbraucher</x:v>
      </x:c>
      <x:c r="C40" s="176" t="str">
        <x:v>V_HAW_003</x:v>
      </x:c>
      <x:c r="D40" s="176" t="str">
        <x:v>lastfaktor_pwm508</x:v>
      </x:c>
      <x:c r="E40" s="176" t="n">
        <x:v>0.19</x:v>
      </x:c>
      <x:c r="F40" s="176" t="str">
        <x:v>-</x:v>
      </x:c>
      <x:c r="G40" s="176" t="n">
        <x:v>0.12</x:v>
      </x:c>
      <x:c r="H40" s="176" t="n">
        <x:v>0.3</x:v>
      </x:c>
      <x:c r="I40" s="176" t="str">
        <x:v>Aus Herstellerprogramm grob abgeleitet: 1,05 kWh in 59 min entspricht ca. 1,07 kW mittlerer Leistung bei 5,5 kW Anschluss</x:v>
      </x:c>
      <x:c r="J40" s="176" t="str">
        <x:v>mittel</x:v>
      </x:c>
    </x:row>
    <x:row r="41">
      <x:c r="A41" s="176" t="str">
        <x:v>A_HAW_005</x:v>
      </x:c>
      <x:c r="B41" s="176" t="str">
        <x:v>Verbraucher</x:v>
      </x:c>
      <x:c r="C41" s="176" t="str">
        <x:v>V_HAW_004</x:v>
      </x:c>
      <x:c r="D41" s="176" t="str">
        <x:v>leistung_haushaltswaschmaschine</x:v>
      </x:c>
      <x:c r="E41" s="176" t="n">
        <x:v>2.1</x:v>
      </x:c>
      <x:c r="F41" s="176" t="str">
        <x:v>kW</x:v>
      </x:c>
      <x:c r="G41" s="176" t="n">
        <x:v>1.8</x:v>
      </x:c>
      <x:c r="H41" s="176" t="n">
        <x:v>2.4</x:v>
      </x:c>
      <x:c r="I41" s="176" t="str">
        <x:v>Pauschalannahme bis Typenschild erfasst ist</x:v>
      </x:c>
      <x:c r="J41" s="176" t="str">
        <x:v>niedrig</x:v>
      </x:c>
    </x:row>
    <x:row r="42">
      <x:c r="A42" s="176" t="str">
        <x:v>A_HAW_006</x:v>
      </x:c>
      <x:c r="B42" s="176" t="str">
        <x:v>Verbraucher</x:v>
      </x:c>
      <x:c r="C42" s="176" t="str">
        <x:v>V_HAW_005</x:v>
      </x:c>
      <x:c r="D42" s="176" t="str">
        <x:v>leistung_wp_trockner</x:v>
      </x:c>
      <x:c r="E42" s="176" t="n">
        <x:v>0.8</x:v>
      </x:c>
      <x:c r="F42" s="176" t="str">
        <x:v>kW</x:v>
      </x:c>
      <x:c r="G42" s="176" t="n">
        <x:v>0.5</x:v>
      </x:c>
      <x:c r="H42" s="176" t="n">
        <x:v>1.2</x:v>
      </x:c>
      <x:c r="I42" s="176" t="str">
        <x:v>Pauschalannahme bis Typenschild erfasst ist</x:v>
      </x:c>
      <x:c r="J42" s="176" t="str">
        <x:v>niedrig</x:v>
      </x:c>
    </x:row>
    <x:row r="43">
      <x:c r="A43" s="176" t="str">
        <x:v>A_HAW_007</x:v>
      </x:c>
      <x:c r="B43" s="176" t="str">
        <x:v>Verbrauchergruppe</x:v>
      </x:c>
      <x:c r="C43" s="176" t="str">
        <x:v>VG_HAW</x:v>
      </x:c>
      <x:c r="D43" s="176" t="str">
        <x:v>leistung_heisswasser_trockner_el</x:v>
      </x:c>
      <x:c r="E43" s="176" t="n">
        <x:v>1.5</x:v>
      </x:c>
      <x:c r="F43" s="176" t="str">
        <x:v>kW/Gerät</x:v>
      </x:c>
      <x:c r="G43" s="176" t="n">
        <x:v>0.8</x:v>
      </x:c>
      <x:c r="H43" s="176" t="n">
        <x:v>2.5</x:v>
      </x:c>
      <x:c r="I43" s="176" t="str">
        <x:v>Nur Ventilator/Trommel/Steuerung; thermische Energie kommt aus Heizsystem. STAHL bestätigt Heißwasser als mögliche Trockner-Beheizungsart: https://stahl-waeschereimaschinen.de/wissenswertes/neu-waschmaschine-und-trockner-mit-heizomat-beheizen/</x:v>
      </x:c>
      <x:c r="J43" s="176" t="str">
        <x:v>niedrig</x:v>
      </x:c>
    </x:row>
    <x:row r="44">
      <x:c r="A44" s="180" t="str">
        <x:v>A_HAW_008</x:v>
      </x:c>
      <x:c r="B44" s="180" t="str">
        <x:v>Verbraucher</x:v>
      </x:c>
      <x:c r="C44" s="180" t="str">
        <x:v>V_HAW_009</x:v>
      </x:c>
      <x:c r="D44" s="180" t="str">
        <x:v>anschlussleistung_mangel_elektrisch</x:v>
      </x:c>
      <x:c r="E44" s="180" t="n">
        <x:v>21</x:v>
      </x:c>
      <x:c r="F44" s="180" t="str">
        <x:v>kW</x:v>
      </x:c>
      <x:c r="G44" s="180" t="n">
        <x:v>10.5</x:v>
      </x:c>
      <x:c r="H44" s="180" t="n">
        <x:v>33</x:v>
      </x:c>
      <x:c r="I44" s="180" t="str">
        <x:v>Vorläufiger KISS-Wert. STAHL Einroller: M330 10,5 kW; M400/M500 typ. 21/33 kW. Exakten Typ/Breite später am Typenschild prüfen. https://stahl-waeschereimaschinen.de/produkte/muldenmangeln/einroller/</x:v>
      </x:c>
      <x:c r="J44" s="180" t="str">
        <x:v>niedrig</x:v>
      </x:c>
    </x:row>
    <x:row r="45">
      <x:c r="A45" s="180" t="str">
        <x:v>A_HAW_010</x:v>
      </x:c>
      <x:c r="B45" s="180" t="str">
        <x:v>Verbraucher</x:v>
      </x:c>
      <x:c r="C45" s="180" t="str">
        <x:v>V_HAW_009</x:v>
      </x:c>
      <x:c r="D45" s="180" t="str">
        <x:v>lastfaktor_mangel</x:v>
      </x:c>
      <x:c r="E45" s="180" t="n">
        <x:v>0.55</x:v>
      </x:c>
      <x:c r="F45" s="180" t="str">
        <x:v>-</x:v>
      </x:c>
      <x:c r="G45" s="180" t="n">
        <x:v>0.35</x:v>
      </x:c>
      <x:c r="H45" s="180" t="n">
        <x:v>0.75</x:v>
      </x:c>
      <x:c r="I45" s="180" t="str">
        <x:v>Gestufte Vorheizung und thermostatischer Betrieb: Anschlussleistung wird nicht dauerhaft gleichzeitig abgerufen. Startwert für 15-min-Modell, später über Messlastgang kalibrieren.</x:v>
      </x:c>
      <x:c r="J45" s="180" t="str">
        <x:v>niedrig</x:v>
      </x:c>
    </x:row>
    <x:row r="46">
      <x:c r="A46" s="184" t="str">
        <x:v>A_HAU_001</x:v>
      </x:c>
      <x:c r="B46" s="184" t="str">
        <x:v>Verbraucher</x:v>
      </x:c>
      <x:c r="C46" s="184" t="str">
        <x:v>V_HAU_001</x:v>
      </x:c>
      <x:c r="D46" s="184" t="str">
        <x:v>thermische_nennleistung_pyrot</x:v>
      </x:c>
      <x:c r="E46" s="184" t="n">
        <x:v>220</x:v>
      </x:c>
      <x:c r="F46" s="184" t="str">
        <x:v>kW_th</x:v>
      </x:c>
      <x:c r="G46" s="184" t="n">
        <x:v>220</x:v>
      </x:c>
      <x:c r="H46" s="184" t="n">
        <x:v>220</x:v>
      </x:c>
      <x:c r="I46" s="184" t="str">
        <x:v>Bestandsangabe / Pyrot KRT-220</x:v>
      </x:c>
      <x:c r="J46" s="184" t="str">
        <x:v>hoch</x:v>
      </x:c>
    </x:row>
    <x:row r="47">
      <x:c r="A47" s="184" t="str">
        <x:v>A_HAU_002</x:v>
      </x:c>
      <x:c r="B47" s="184" t="str">
        <x:v>Verbraucher</x:v>
      </x:c>
      <x:c r="C47" s="184" t="str">
        <x:v>V_HAU_001</x:v>
      </x:c>
      <x:c r="D47" s="184" t="str">
        <x:v>elektrischer_gesamtanschluss_pyrot</x:v>
      </x:c>
      <x:c r="E47" s="184" t="n">
        <x:v>2.85</x:v>
      </x:c>
      <x:c r="F47" s="184" t="str">
        <x:v>kW_el</x:v>
      </x:c>
      <x:c r="G47" s="184" t="n">
        <x:v>2.85</x:v>
      </x:c>
      <x:c r="H47" s="184" t="n">
        <x:v>2.85</x:v>
      </x:c>
      <x:c r="I47" s="184" t="str">
        <x:v>Technische Daten Pyrot KRT-220. https://www.oakland.edu/Assets/upload/docs/Energy/KOB-Wood-Boiler/PYROT-Assembly-and-Installation-Instructions.pdf</x:v>
      </x:c>
      <x:c r="J47" s="184" t="str">
        <x:v>hoch</x:v>
      </x:c>
    </x:row>
    <x:row r="48">
      <x:c r="A48" s="184" t="str">
        <x:v>A_HAU_003</x:v>
      </x:c>
      <x:c r="B48" s="184" t="str">
        <x:v>Verbraucher</x:v>
      </x:c>
      <x:c r="C48" s="184" t="str">
        <x:v>V_HAU_002</x:v>
      </x:c>
      <x:c r="D48" s="184" t="str">
        <x:v>thermische_nennleistung_sb325</x:v>
      </x:c>
      <x:c r="E48" s="184" t="n">
        <x:v>115</x:v>
      </x:c>
      <x:c r="F48" s="184" t="str">
        <x:v>kW_th</x:v>
      </x:c>
      <x:c r="G48" s="184" t="n">
        <x:v>115</x:v>
      </x:c>
      <x:c r="H48" s="184" t="n">
        <x:v>115</x:v>
      </x:c>
      <x:c r="I48" s="184" t="str">
        <x:v>Bestandsangabe; je Prozesswärmeerzeuger</x:v>
      </x:c>
      <x:c r="J48" s="184" t="str">
        <x:v>hoch</x:v>
      </x:c>
    </x:row>
    <x:row r="49">
      <x:c r="A49" s="184" t="str">
        <x:v>A_HAU_004</x:v>
      </x:c>
      <x:c r="B49" s="184" t="str">
        <x:v>Verbraucher</x:v>
      </x:c>
      <x:c r="C49" s="184" t="str">
        <x:v>V_HAU_002</x:v>
      </x:c>
      <x:c r="D49" s="184" t="str">
        <x:v>elektrische_hilfsleistung_sb325_volllast</x:v>
      </x:c>
      <x:c r="E49" s="184" t="n">
        <x:v>0.439</x:v>
      </x:c>
      <x:c r="F49" s="184" t="str">
        <x:v>kW_el</x:v>
      </x:c>
      <x:c r="G49" s="184" t="n">
        <x:v>0.439</x:v>
      </x:c>
      <x:c r="H49" s="184" t="n">
        <x:v>0.439</x:v>
      </x:c>
      <x:c r="I49" s="184" t="str">
        <x:v>Buderus Kennwerte: P_HE 100 % = 439 W; 30 % = 146 W; Standby = 15 W. https://www.buderus.de/resource/blob/45224/9cfb5a19a1578d1c02f3a8515412120e/Produkt-Kennwerte%20zur%20Berechnung%20des%20Jahresprim%C3%A4renergiebedarfs.pdf</x:v>
      </x:c>
      <x:c r="J49" s="184" t="str">
        <x:v>hoch</x:v>
      </x:c>
    </x:row>
    <x:row r="50">
      <x:c r="A50" s="184" t="str">
        <x:v>A_HAU_005</x:v>
      </x:c>
      <x:c r="B50" s="184" t="str">
        <x:v>Verbraucher</x:v>
      </x:c>
      <x:c r="C50" s="184" t="str">
        <x:v>V_HAU_004</x:v>
      </x:c>
      <x:c r="D50" s="184" t="str">
        <x:v>pumpentechnik_installiert</x:v>
      </x:c>
      <x:c r="E50" s="184" t="n">
        <x:v>8</x:v>
      </x:c>
      <x:c r="F50" s="184" t="str">
        <x:v>kW_el</x:v>
      </x:c>
      <x:c r="G50" s="184" t="n">
        <x:v>8</x:v>
      </x:c>
      <x:c r="H50" s="184" t="n">
        <x:v>8</x:v>
      </x:c>
      <x:c r="I50" s="184" t="str">
        <x:v>Bestandsangabe</x:v>
      </x:c>
      <x:c r="J50" s="184" t="str">
        <x:v>hoch</x:v>
      </x:c>
    </x:row>
    <x:row r="51">
      <x:c r="A51" s="184" t="str">
        <x:v>A_HAU_006</x:v>
      </x:c>
      <x:c r="B51" s="184" t="str">
        <x:v>Verbraucher</x:v>
      </x:c>
      <x:c r="C51" s="184" t="str">
        <x:v>V_HAU_004</x:v>
      </x:c>
      <x:c r="D51" s="184" t="str">
        <x:v>lastfaktor_pumpentechnik</x:v>
      </x:c>
      <x:c r="E51" s="184" t="n">
        <x:v>0.65</x:v>
      </x:c>
      <x:c r="F51" s="184" t="str">
        <x:v>-</x:v>
      </x:c>
      <x:c r="G51" s="184" t="n">
        <x:v>0.4</x:v>
      </x:c>
      <x:c r="H51" s="184" t="n">
        <x:v>0.9</x:v>
      </x:c>
      <x:c r="I51" s="184" t="str">
        <x:v>Vorläufige Modellannahme; später über Betriebsdaten / thermisches Modell kalibrieren</x:v>
      </x:c>
      <x:c r="J51" s="184" t="str">
        <x:v>niedrig</x:v>
      </x:c>
    </x:row>
    <x:row r="52">
      <x:c r="A52" s="188" t="str">
        <x:v>A_ALL_001</x:v>
      </x:c>
      <x:c r="B52" s="188" t="str">
        <x:v>Verbraucher</x:v>
      </x:c>
      <x:c r="C52" s="188" t="str">
        <x:v>V_ALL_001</x:v>
      </x:c>
      <x:c r="D52" s="188" t="str">
        <x:v>grundflaeche_allgemeinbereiche</x:v>
      </x:c>
      <x:c r="E52" s="188" t="n">
        <x:v>400</x:v>
      </x:c>
      <x:c r="F52" s="188" t="str">
        <x:v>m²</x:v>
      </x:c>
      <x:c r="G52" s="188" t="n">
        <x:v>400</x:v>
      </x:c>
      <x:c r="H52" s="188" t="n">
        <x:v>400</x:v>
      </x:c>
      <x:c r="I52" s="188" t="str">
        <x:v>Nutzerangabe, ca.-Wert</x:v>
      </x:c>
      <x:c r="J52" s="188" t="str">
        <x:v>hoch</x:v>
      </x:c>
    </x:row>
    <x:row r="53">
      <x:c r="A53" s="188" t="str">
        <x:v>A_ALL_002</x:v>
      </x:c>
      <x:c r="B53" s="188" t="str">
        <x:v>Verbraucher</x:v>
      </x:c>
      <x:c r="C53" s="188" t="str">
        <x:v>V_ALL_001</x:v>
      </x:c>
      <x:c r="D53" s="188" t="str">
        <x:v>beleuchtungsleistung_flaechenbezogen</x:v>
      </x:c>
      <x:c r="E53" s="188" t="n">
        <x:v>5</x:v>
      </x:c>
      <x:c r="F53" s="188" t="str">
        <x:v>W/m²</x:v>
      </x:c>
      <x:c r="G53" s="188" t="n">
        <x:v>4</x:v>
      </x:c>
      <x:c r="H53" s="188" t="n">
        <x:v>7</x:v>
      </x:c>
      <x:c r="I53" s="188" t="str">
        <x:v>KISS-Pauschalwert für effiziente LED-Beleuchtung</x:v>
      </x:c>
      <x:c r="J53" s="188" t="str">
        <x:v>mittel</x:v>
      </x:c>
    </x:row>
    <x:row r="54">
      <x:c r="A54" s="188" t="str">
        <x:v>A_AUS_001</x:v>
      </x:c>
      <x:c r="B54" s="188" t="str">
        <x:v>Verbraucher</x:v>
      </x:c>
      <x:c r="C54" s="188" t="str">
        <x:v>V_AUS_001</x:v>
      </x:c>
      <x:c r="D54" s="188" t="str">
        <x:v>leistung_aussenleuchte_mittel</x:v>
      </x:c>
      <x:c r="E54" s="188" t="n">
        <x:v>15</x:v>
      </x:c>
      <x:c r="F54" s="188" t="str">
        <x:v>W/Leuchte</x:v>
      </x:c>
      <x:c r="G54" s="188" t="n">
        <x:v>8</x:v>
      </x:c>
      <x:c r="H54" s="188" t="n">
        <x:v>25</x:v>
      </x:c>
      <x:c r="I54" s="188" t="str">
        <x:v>KISS-Pauschalwert für Mischung aus LED-Außenlampen und Moonlights; 40 Stück laut Bestand</x:v>
      </x:c>
      <x:c r="J54" s="188" t="str">
        <x:v>niedrig</x:v>
      </x:c>
    </x:row>
    <x:row r="55">
      <x:c r="A55" s="192" t="str">
        <x:v>A_LAD_001</x:v>
      </x:c>
      <x:c r="B55" s="192" t="str">
        <x:v>Verbraucher</x:v>
      </x:c>
      <x:c r="C55" s="192" t="str">
        <x:v>V_LAD_001</x:v>
      </x:c>
      <x:c r="D55" s="192" t="str">
        <x:v>anschlussleistung_ladestation</x:v>
      </x:c>
      <x:c r="E55" s="192" t="n">
        <x:v>22</x:v>
      </x:c>
      <x:c r="F55" s="192" t="str">
        <x:v>kW_el</x:v>
      </x:c>
      <x:c r="G55" s="192" t="n">
        <x:v>22</x:v>
      </x:c>
      <x:c r="H55" s="192" t="n">
        <x:v>22</x:v>
      </x:c>
      <x:c r="I55" s="192" t="str">
        <x:v>Bestandsangabe</x:v>
      </x:c>
      <x:c r="J55" s="192" t="str">
        <x:v>hoch</x:v>
      </x:c>
    </x:row>
    <x:row r="56">
      <x:c r="A56" s="196" t="str">
        <x:v>A_BET_001</x:v>
      </x:c>
      <x:c r="B56" s="196" t="str">
        <x:v>Verbraucher</x:v>
      </x:c>
      <x:c r="C56" s="196" t="str">
        <x:v>V_CHA_003</x:v>
      </x:c>
      <x:c r="D56" s="196" t="str">
        <x:v>dauerhaft_temperiert</x:v>
      </x:c>
      <x:c r="E56" s="196" t="n">
        <x:v>1</x:v>
      </x:c>
      <x:c r="F56" s="196" t="str">
        <x:v>0/1</x:v>
      </x:c>
      <x:c r="G56" s="196" t="n">
        <x:v>1</x:v>
      </x:c>
      <x:c r="H56" s="196" t="n">
        <x:v>1</x:v>
      </x:c>
      <x:c r="I56" s="196" t="str">
        <x:v>Nutzerangabe: Chalets werden dauerhaft auf Temperatur gehalten</x:v>
      </x:c>
      <x:c r="J56" s="196" t="str">
        <x:v>hoch</x:v>
      </x:c>
    </x:row>
    <x:row r="57">
      <x:c r="A57" s="196" t="str">
        <x:v>A_BET_002</x:v>
      </x:c>
      <x:c r="B57" s="196" t="str">
        <x:v>Verbrauchergruppe</x:v>
      </x:c>
      <x:c r="C57" s="196" t="str">
        <x:v>VG_KIR</x:v>
      </x:c>
      <x:c r="D57" s="196" t="str">
        <x:v>wochenendbelegung_typisch</x:v>
      </x:c>
      <x:c r="E57" s="196" t="n">
        <x:v>1</x:v>
      </x:c>
      <x:c r="F57" s="196" t="str">
        <x:v>0/1</x:v>
      </x:c>
      <x:c r="G57" s="196" t="n">
        <x:v>1</x:v>
      </x:c>
      <x:c r="H57" s="196" t="n">
        <x:v>1</x:v>
      </x:c>
      <x:c r="I57" s="196" t="str">
        <x:v>KISS-Annahme: am Wochenende belegt, unter der Woche unbelegt; ganzjährig</x:v>
      </x:c>
      <x:c r="J57" s="196" t="str">
        <x:v>mittel</x:v>
      </x:c>
    </x:row>
    <x:row r="58">
      <x:c r="A58" s="196" t="str">
        <x:v>A_BET_003</x:v>
      </x:c>
      <x:c r="B58" s="196" t="str">
        <x:v>Verbrauchergruppe</x:v>
      </x:c>
      <x:c r="C58" s="196" t="str">
        <x:v>VG_TAG</x:v>
      </x:c>
      <x:c r="D58" s="196" t="str">
        <x:v>parallel_aktive_raeume</x:v>
      </x:c>
      <x:c r="E58" s="196" t="n">
        <x:v>2</x:v>
      </x:c>
      <x:c r="F58" s="196" t="str">
        <x:v>Räume</x:v>
      </x:c>
      <x:c r="G58" s="196" t="n">
        <x:v>2</x:v>
      </x:c>
      <x:c r="H58" s="196" t="n">
        <x:v>4</x:v>
      </x:c>
      <x:c r="I58" s="196" t="str">
        <x:v>KISS-Annahme aus Nutzerangabe, dass mehrere Räume parallel genutzt werden</x:v>
      </x:c>
      <x:c r="J58" s="196" t="str">
        <x:v>mittel</x:v>
      </x:c>
    </x:row>
    <x:row r="59">
      <x:c r="A59" s="196" t="str">
        <x:v>A_BET_004</x:v>
      </x:c>
      <x:c r="B59" s="196" t="str">
        <x:v>Verbrauchergruppe</x:v>
      </x:c>
      <x:c r="C59" s="196" t="str">
        <x:v>VG_HAW</x:v>
      </x:c>
      <x:c r="D59" s="196" t="str">
        <x:v>nebensaison_betriebstage</x:v>
      </x:c>
      <x:c r="E59" s="196" t="n">
        <x:v>3</x:v>
      </x:c>
      <x:c r="F59" s="196" t="str">
        <x:v>Tage/Woche</x:v>
      </x:c>
      <x:c r="G59" s="196" t="n">
        <x:v>2</x:v>
      </x:c>
      <x:c r="H59" s="196" t="n">
        <x:v>3</x:v>
      </x:c>
      <x:c r="I59" s="196" t="str">
        <x:v>Nutzerangabe: nur unter der Woche, Nebensaison 2–3 Tage; Modellwert 3</x:v>
      </x:c>
      <x:c r="J59" s="196" t="str">
        <x:v>hoch</x:v>
      </x:c>
    </x:row>
    <x:row r="60">
      <x:c r="A60" s="196" t="str">
        <x:v>A_BET_005</x:v>
      </x:c>
      <x:c r="B60" s="196" t="str">
        <x:v>Verbraucher</x:v>
      </x:c>
      <x:c r="C60" s="196" t="str">
        <x:v>V_ALL_001</x:v>
      </x:c>
      <x:c r="D60" s="196" t="str">
        <x:v>bewegungsmelder_flaechenanteil</x:v>
      </x:c>
      <x:c r="E60" s="196" t="n">
        <x:v>0.8</x:v>
      </x:c>
      <x:c r="F60" s="196" t="str">
        <x:v>-</x:v>
      </x:c>
      <x:c r="G60" s="196" t="n">
        <x:v>0.75</x:v>
      </x:c>
      <x:c r="H60" s="196" t="n">
        <x:v>0.85</x:v>
      </x:c>
      <x:c r="I60" s="196" t="str">
        <x:v>Nutzerangabe: ca. 80 % der Allgemein-/Flurfläche bewegungsmeldergesteuert</x:v>
      </x:c>
      <x:c r="J60" s="196" t="str">
        <x:v>hoch</x:v>
      </x:c>
    </x:row>
    <x:row r="61">
      <x:c r="A61" s="196" t="str">
        <x:v>A_BET_006</x:v>
      </x:c>
      <x:c r="B61" s="196" t="str">
        <x:v>Verbraucher</x:v>
      </x:c>
      <x:c r="C61" s="196" t="str">
        <x:v>V_ALL_001</x:v>
      </x:c>
      <x:c r="D61" s="196" t="str">
        <x:v>lastfaktor_bewegungsmelder</x:v>
      </x:c>
      <x:c r="E61" s="196" t="n">
        <x:v>0.35</x:v>
      </x:c>
      <x:c r="F61" s="196" t="str">
        <x:v>-</x:v>
      </x:c>
      <x:c r="G61" s="196" t="n">
        <x:v>0.2</x:v>
      </x:c>
      <x:c r="H61" s="196" t="n">
        <x:v>0.5</x:v>
      </x:c>
      <x:c r="I61" s="196" t="str">
        <x:v>KISS-Annahme für mittlere Einschaltdauer der Bewegungsmelder-Beleuchtung</x:v>
      </x:c>
      <x:c r="J61" s="196" t="str">
        <x:v>niedrig</x:v>
      </x:c>
    </x:row>
    <x:row r="62">
      <x:c r="A62" s="196" t="str">
        <x:v>A_BET_007</x:v>
      </x:c>
      <x:c r="B62" s="196" t="str">
        <x:v>Verbraucher</x:v>
      </x:c>
      <x:c r="C62" s="196" t="str">
        <x:v>V_AUS_001</x:v>
      </x:c>
      <x:c r="D62" s="196" t="str">
        <x:v>abschaltzeit_aussenlicht</x:v>
      </x:c>
      <x:c r="E62" s="196" t="n">
        <x:v>23</x:v>
      </x:c>
      <x:c r="F62" s="196" t="str">
        <x:v>Uhr</x:v>
      </x:c>
      <x:c r="G62" s="196" t="n">
        <x:v>23</x:v>
      </x:c>
      <x:c r="H62" s="196" t="n">
        <x:v>23</x:v>
      </x:c>
      <x:c r="I62" s="196" t="str">
        <x:v>Nutzerangabe: Außenbeleuchtung bis 23:00</x:v>
      </x:c>
      <x:c r="J62" s="196" t="str">
        <x:v>hoch</x:v>
      </x:c>
    </x:row>
    <x:row r="63">
      <x:c r="A63" s="196" t="str">
        <x:v>A_BET_008</x:v>
      </x:c>
      <x:c r="B63" s="196" t="str">
        <x:v>Verbraucher</x:v>
      </x:c>
      <x:c r="C63" s="196" t="str">
        <x:v>V_LAD_001</x:v>
      </x:c>
      <x:c r="D63" s="196" t="str">
        <x:v>energie_je_ladevorgang</x:v>
      </x:c>
      <x:c r="E63" s="196" t="n">
        <x:v>8</x:v>
      </x:c>
      <x:c r="F63" s="196" t="str">
        <x:v>kWh</x:v>
      </x:c>
      <x:c r="G63" s="196" t="n">
        <x:v>5</x:v>
      </x:c>
      <x:c r="H63" s="196" t="n">
        <x:v>15</x:v>
      </x:c>
      <x:c r="I63" s="196" t="str">
        <x:v>Konservativer Startwert; später mit realen Ladedaten ersetzen</x:v>
      </x:c>
      <x:c r="J63" s="196" t="str">
        <x:v>mittel</x:v>
      </x:c>
    </x:row>
    <x:row r="64">
      <x:c r="A64" s="196" t="str">
        <x:v>A_BET_009</x:v>
      </x:c>
      <x:c r="B64" s="196" t="str">
        <x:v>Verbrauchergruppe</x:v>
      </x:c>
      <x:c r="C64" s="196" t="str">
        <x:v>VG_GAS</x:v>
      </x:c>
      <x:c r="D64" s="196" t="str">
        <x:v>weihnachten_kuechenende</x:v>
      </x:c>
      <x:c r="E64" s="196" t="n">
        <x:v>1</x:v>
      </x:c>
      <x:c r="F64" s="196" t="str">
        <x:v>Uhr Folgetag</x:v>
      </x:c>
      <x:c r="G64" s="196" t="n">
        <x:v>1</x:v>
      </x:c>
      <x:c r="H64" s="196" t="n">
        <x:v>1</x:v>
      </x:c>
      <x:c r="I64" s="196" t="str">
        <x:v>Nutzerangabe: Küchenbetrieb an Weihnachten bis 01:00</x:v>
      </x:c>
      <x:c r="J64" s="196" t="str">
        <x:v>hoch</x:v>
      </x:c>
    </x:row>
    <x:row r="65">
      <x:c r="A65" s="98"/>
      <x:c r="B65" s="98"/>
      <x:c r="C65" s="98"/>
      <x:c r="D65" s="98"/>
      <x:c r="E65" s="98"/>
      <x:c r="F65" s="98"/>
      <x:c r="G65" s="98"/>
      <x:c r="H65" s="98"/>
      <x:c r="I65" s="98"/>
      <x:c r="J65" s="98"/>
    </x:row>
    <x:row r="66">
      <x:c r="A66" s="98"/>
      <x:c r="B66" s="98"/>
      <x:c r="C66" s="98"/>
      <x:c r="D66" s="98"/>
      <x:c r="E66" s="98"/>
      <x:c r="F66" s="98"/>
      <x:c r="G66" s="98"/>
      <x:c r="H66" s="98"/>
      <x:c r="I66" s="98"/>
      <x:c r="J66" s="98"/>
    </x:row>
    <x:row r="67">
      <x:c r="A67" s="98"/>
      <x:c r="B67" s="98"/>
      <x:c r="C67" s="98"/>
      <x:c r="D67" s="98"/>
      <x:c r="E67" s="98"/>
      <x:c r="F67" s="98"/>
      <x:c r="G67" s="98"/>
      <x:c r="H67" s="98"/>
      <x:c r="I67" s="98"/>
      <x:c r="J67" s="98"/>
    </x:row>
    <x:row r="68">
      <x:c r="A68" s="98"/>
      <x:c r="B68" s="98"/>
      <x:c r="C68" s="98"/>
      <x:c r="D68" s="98"/>
      <x:c r="E68" s="98"/>
      <x:c r="F68" s="98"/>
      <x:c r="G68" s="98"/>
      <x:c r="H68" s="98"/>
      <x:c r="I68" s="98"/>
      <x:c r="J68" s="98"/>
    </x:row>
    <x:row r="69">
      <x:c r="A69" s="98"/>
      <x:c r="B69" s="98"/>
      <x:c r="C69" s="98"/>
      <x:c r="D69" s="98"/>
      <x:c r="E69" s="98"/>
      <x:c r="F69" s="98"/>
      <x:c r="G69" s="98"/>
      <x:c r="H69" s="98"/>
      <x:c r="I69" s="98"/>
      <x:c r="J69" s="98"/>
    </x:row>
    <x:row r="70">
      <x:c r="A70" s="98"/>
      <x:c r="B70" s="98"/>
      <x:c r="C70" s="98"/>
      <x:c r="D70" s="98"/>
      <x:c r="E70" s="98"/>
      <x:c r="F70" s="98"/>
      <x:c r="G70" s="98"/>
      <x:c r="H70" s="98"/>
      <x:c r="I70" s="98"/>
      <x:c r="J70" s="98"/>
    </x:row>
    <x:row r="71">
      <x:c r="A71" s="98"/>
      <x:c r="B71" s="98"/>
      <x:c r="C71" s="98"/>
      <x:c r="D71" s="98"/>
      <x:c r="E71" s="98"/>
      <x:c r="F71" s="98"/>
      <x:c r="G71" s="98"/>
      <x:c r="H71" s="98"/>
      <x:c r="I71" s="98"/>
      <x:c r="J71" s="98"/>
    </x:row>
    <x:row r="72">
      <x:c r="A72" s="98"/>
      <x:c r="B72" s="98"/>
      <x:c r="C72" s="98"/>
      <x:c r="D72" s="98"/>
      <x:c r="E72" s="98"/>
      <x:c r="F72" s="98"/>
      <x:c r="G72" s="98"/>
      <x:c r="H72" s="98"/>
      <x:c r="I72" s="98"/>
      <x:c r="J72" s="98"/>
    </x:row>
    <x:row r="73">
      <x:c r="A73" s="98"/>
      <x:c r="B73" s="98"/>
      <x:c r="C73" s="98"/>
      <x:c r="D73" s="98"/>
      <x:c r="E73" s="98"/>
      <x:c r="F73" s="98"/>
      <x:c r="G73" s="98"/>
      <x:c r="H73" s="98"/>
      <x:c r="I73" s="98"/>
      <x:c r="J73" s="98"/>
    </x:row>
    <x:row r="74">
      <x:c r="A74" s="98"/>
      <x:c r="B74" s="98"/>
      <x:c r="C74" s="98"/>
      <x:c r="D74" s="98"/>
      <x:c r="E74" s="98"/>
      <x:c r="F74" s="98"/>
      <x:c r="G74" s="98"/>
      <x:c r="H74" s="98"/>
      <x:c r="I74" s="98"/>
      <x:c r="J74" s="98"/>
    </x:row>
    <x:row r="75">
      <x:c r="A75" s="98"/>
      <x:c r="B75" s="98"/>
      <x:c r="C75" s="98"/>
      <x:c r="D75" s="98"/>
      <x:c r="E75" s="98"/>
      <x:c r="F75" s="98"/>
      <x:c r="G75" s="98"/>
      <x:c r="H75" s="98"/>
      <x:c r="I75" s="98"/>
      <x:c r="J75" s="98"/>
    </x:row>
    <x:row r="76">
      <x:c r="A76" s="98"/>
      <x:c r="B76" s="98"/>
      <x:c r="C76" s="98"/>
      <x:c r="D76" s="98"/>
      <x:c r="E76" s="98"/>
      <x:c r="F76" s="98"/>
      <x:c r="G76" s="98"/>
      <x:c r="H76" s="98"/>
      <x:c r="I76" s="98"/>
      <x:c r="J76" s="98"/>
    </x:row>
    <x:row r="77">
      <x:c r="A77" s="98"/>
      <x:c r="B77" s="98"/>
      <x:c r="C77" s="98"/>
      <x:c r="D77" s="98"/>
      <x:c r="E77" s="98"/>
      <x:c r="F77" s="98"/>
      <x:c r="G77" s="98"/>
      <x:c r="H77" s="98"/>
      <x:c r="I77" s="98"/>
      <x:c r="J77" s="98"/>
    </x:row>
    <x:row r="78">
      <x:c r="A78" s="98"/>
      <x:c r="B78" s="98"/>
      <x:c r="C78" s="98"/>
      <x:c r="D78" s="98"/>
      <x:c r="E78" s="98"/>
      <x:c r="F78" s="98"/>
      <x:c r="G78" s="98"/>
      <x:c r="H78" s="98"/>
      <x:c r="I78" s="98"/>
      <x:c r="J78" s="98"/>
    </x:row>
    <x:row r="79">
      <x:c r="A79" s="98"/>
      <x:c r="B79" s="98"/>
      <x:c r="C79" s="98"/>
      <x:c r="D79" s="98"/>
      <x:c r="E79" s="98"/>
      <x:c r="F79" s="98"/>
      <x:c r="G79" s="98"/>
      <x:c r="H79" s="98"/>
      <x:c r="I79" s="98"/>
      <x:c r="J79" s="98"/>
    </x:row>
    <x:row r="80">
      <x:c r="A80" s="98"/>
      <x:c r="B80" s="98"/>
      <x:c r="C80" s="98"/>
      <x:c r="D80" s="98"/>
      <x:c r="E80" s="98"/>
      <x:c r="F80" s="98"/>
      <x:c r="G80" s="98"/>
      <x:c r="H80" s="98"/>
      <x:c r="I80" s="98"/>
      <x:c r="J80" s="98"/>
    </x:row>
    <x:row r="81">
      <x:c r="A81" s="98"/>
      <x:c r="B81" s="98"/>
      <x:c r="C81" s="98"/>
      <x:c r="D81" s="98"/>
      <x:c r="E81" s="98"/>
      <x:c r="F81" s="98"/>
      <x:c r="G81" s="98"/>
      <x:c r="H81" s="98"/>
      <x:c r="I81" s="98"/>
      <x:c r="J81" s="98"/>
    </x:row>
    <x:row r="82">
      <x:c r="A82" s="98"/>
      <x:c r="B82" s="98"/>
      <x:c r="C82" s="98"/>
      <x:c r="D82" s="98"/>
      <x:c r="E82" s="98"/>
      <x:c r="F82" s="98"/>
      <x:c r="G82" s="98"/>
      <x:c r="H82" s="98"/>
      <x:c r="I82" s="98"/>
      <x:c r="J82" s="98"/>
    </x:row>
    <x:row r="83">
      <x:c r="A83" s="98"/>
      <x:c r="B83" s="98"/>
      <x:c r="C83" s="98"/>
      <x:c r="D83" s="98"/>
      <x:c r="E83" s="98"/>
      <x:c r="F83" s="98"/>
      <x:c r="G83" s="98"/>
      <x:c r="H83" s="98"/>
      <x:c r="I83" s="98"/>
      <x:c r="J83" s="98"/>
    </x:row>
    <x:row r="84">
      <x:c r="A84" s="98"/>
      <x:c r="B84" s="98"/>
      <x:c r="C84" s="98"/>
      <x:c r="D84" s="98"/>
      <x:c r="E84" s="98"/>
      <x:c r="F84" s="98"/>
      <x:c r="G84" s="98"/>
      <x:c r="H84" s="98"/>
      <x:c r="I84" s="98"/>
      <x:c r="J84" s="98"/>
    </x:row>
    <x:row r="85">
      <x:c r="A85" s="98"/>
      <x:c r="B85" s="98"/>
      <x:c r="C85" s="98"/>
      <x:c r="D85" s="98"/>
      <x:c r="E85" s="98"/>
      <x:c r="F85" s="98"/>
      <x:c r="G85" s="98"/>
      <x:c r="H85" s="98"/>
      <x:c r="I85" s="98"/>
      <x:c r="J85" s="98"/>
    </x:row>
    <x:row r="86">
      <x:c r="A86" s="98"/>
      <x:c r="B86" s="98"/>
      <x:c r="C86" s="98"/>
      <x:c r="D86" s="98"/>
      <x:c r="E86" s="98"/>
      <x:c r="F86" s="98"/>
      <x:c r="G86" s="98"/>
      <x:c r="H86" s="98"/>
      <x:c r="I86" s="98"/>
      <x:c r="J86" s="98"/>
    </x:row>
    <x:row r="87">
      <x:c r="A87" s="98"/>
      <x:c r="B87" s="98"/>
      <x:c r="C87" s="98"/>
      <x:c r="D87" s="98"/>
      <x:c r="E87" s="98"/>
      <x:c r="F87" s="98"/>
      <x:c r="G87" s="98"/>
      <x:c r="H87" s="98"/>
      <x:c r="I87" s="98"/>
      <x:c r="J87" s="98"/>
    </x:row>
    <x:row r="88">
      <x:c r="A88" s="98"/>
      <x:c r="B88" s="98"/>
      <x:c r="C88" s="98"/>
      <x:c r="D88" s="98"/>
      <x:c r="E88" s="98"/>
      <x:c r="F88" s="98"/>
      <x:c r="G88" s="98"/>
      <x:c r="H88" s="98"/>
      <x:c r="I88" s="98"/>
      <x:c r="J88" s="98"/>
    </x:row>
    <x:row r="89">
      <x:c r="A89" s="98"/>
      <x:c r="B89" s="98"/>
      <x:c r="C89" s="98"/>
      <x:c r="D89" s="98"/>
      <x:c r="E89" s="98"/>
      <x:c r="F89" s="98"/>
      <x:c r="G89" s="98"/>
      <x:c r="H89" s="98"/>
      <x:c r="I89" s="98"/>
      <x:c r="J89" s="98"/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</x:row>
  </x:sheetData>
  <x:mergeCells>
    <x:mergeCell ref="A1:J1"/>
  </x:mergeCells>
  <x:conditionalFormatting sqref="J4:J200">
    <x:cfRule type="expression" dxfId="0" priority="1">
      <x:formula>J4="niedrig"</x:formula>
    </x:cfRule>
    <x:cfRule type="expression" dxfId="1" priority="2">
      <x:formula>J4="mittel"</x:formula>
    </x:cfRule>
    <x:cfRule type="expression" dxfId="2" priority="3">
      <x:formula>J4="hoch"</x:formula>
    </x:cfRule>
  </x:conditionalFormatting>
  <x:dataValidations count="11">
    <x:dataValidation type="list" sqref="J4:J200">
      <x:formula1>"hoch,mittel,niedrig"</x:formula1>
    </x:dataValidation>
    <x:dataValidation type="list" sqref="J7:J10">
      <x:formula1>"hoch,mittel,niedrig"</x:formula1>
    </x:dataValidation>
    <x:dataValidation type="list" sqref="J11:J20">
      <x:formula1>"hoch,mittel,niedrig"</x:formula1>
    </x:dataValidation>
    <x:dataValidation type="list" sqref="J21:J30">
      <x:formula1>"hoch,mittel,niedrig"</x:formula1>
    </x:dataValidation>
    <x:dataValidation type="list" sqref="J31:J36">
      <x:formula1>"hoch,mittel,niedrig"</x:formula1>
    </x:dataValidation>
    <x:dataValidation type="list" sqref="J37:J45">
      <x:formula1>"hoch,mittel,niedrig"</x:formula1>
    </x:dataValidation>
    <x:dataValidation type="list" sqref="J44:J45">
      <x:formula1>"hoch,mittel,niedrig"</x:formula1>
    </x:dataValidation>
    <x:dataValidation type="list" sqref="J46:J51">
      <x:formula1>"hoch,mittel,niedrig"</x:formula1>
    </x:dataValidation>
    <x:dataValidation type="list" sqref="J52:J54">
      <x:formula1>"hoch,mittel,niedrig"</x:formula1>
    </x:dataValidation>
    <x:dataValidation type="list" sqref="J55">
      <x:formula1>"hoch,mittel,niedrig"</x:formula1>
    </x:dataValidation>
    <x:dataValidation type="list" sqref="J56:J64">
      <x:formula1>"hoch,mittel,niedrig"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3" hidden="0" customWidth="1"/>
    <x:col min="5" max="5" width="15" hidden="0" customWidth="1"/>
    <x:col min="6" max="6" width="18" hidden="0" customWidth="1"/>
    <x:col min="7" max="7" width="30" hidden="0" customWidth="1"/>
    <x:col min="8" max="8" width="22" hidden="0" customWidth="1"/>
    <x:col min="9" max="9" width="14" hidden="0" customWidth="1"/>
    <x:col min="10" max="10" width="14" hidden="0" customWidth="1"/>
    <x:col min="11" max="11" width="30" hidden="0" customWidth="1"/>
    <x:col min="12" max="12" width="10" hidden="0" customWidth="1"/>
  </x:cols>
  <x:sheetData>
    <x:row r="1" ht="26" customHeight="1">
      <x:c r="A1" s="4" t="str">
        <x:v>Erzeuger – Bestand und Planung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ht="28" customHeight="1">
      <x:c r="A3" s="26" t="str">
        <x:v>erzeuger_id</x:v>
      </x:c>
      <x:c r="B3" s="26" t="str">
        <x:v>erzeuger</x:v>
      </x:c>
      <x:c r="C3" s="26" t="str">
        <x:v>technologie</x:v>
      </x:c>
      <x:c r="D3" s="26" t="str">
        <x:v>status</x:v>
      </x:c>
      <x:c r="E3" s="26" t="str">
        <x:v>leistung_kw</x:v>
      </x:c>
      <x:c r="F3" s="26" t="str">
        <x:v>profilart</x:v>
      </x:c>
      <x:c r="G3" s="26" t="str">
        <x:v>lastgang_datei</x:v>
      </x:c>
      <x:c r="H3" s="26" t="str">
        <x:v>jahreserzeugung_kwh</x:v>
      </x:c>
      <x:c r="I3" s="26" t="str">
        <x:v>capex_eur</x:v>
      </x:c>
      <x:c r="J3" s="26" t="str">
        <x:v>opex_eur_a</x:v>
      </x:c>
      <x:c r="K3" s="26" t="str">
        <x:v>quelle</x:v>
      </x:c>
      <x:c r="L3" s="26" t="str">
        <x:v>aktiv</x:v>
      </x:c>
    </x:row>
    <x:row r="4">
      <x:c r="A4" s="32" t="str">
        <x:v>E_PV_01</x:v>
      </x:c>
      <x:c r="B4" s="32" t="str">
        <x:v>PV Bestand Dach 1</x:v>
      </x:c>
      <x:c r="C4" s="32" t="str">
        <x:v>PV</x:v>
      </x:c>
      <x:c r="D4" s="32" t="str">
        <x:v>Bestand</x:v>
      </x:c>
      <x:c r="E4" s="71" t="n">
        <x:v>30</x:v>
      </x:c>
      <x:c r="F4" s="32" t="str">
        <x:v>MEASURED</x:v>
      </x:c>
      <x:c r="G4" s="32" t="str">
        <x:v>data/raw/pv_01.csv</x:v>
      </x:c>
      <x:c r="H4" s="77"/>
      <x:c r="I4" s="77" t="n">
        <x:v>0</x:v>
      </x:c>
      <x:c r="J4" s="77"/>
      <x:c r="K4" s="32" t="str">
        <x:v>Wechselrichterportal</x:v>
      </x:c>
      <x:c r="L4" s="96" t="b">
        <x:v>1</x:v>
      </x:c>
    </x:row>
    <x:row r="5">
      <x:c r="A5" s="32" t="str">
        <x:v>E_PV_02</x:v>
      </x:c>
      <x:c r="B5" s="32" t="str">
        <x:v>PV Planung Dach 2</x:v>
      </x:c>
      <x:c r="C5" s="32" t="str">
        <x:v>PV</x:v>
      </x:c>
      <x:c r="D5" s="32" t="str">
        <x:v>Planung</x:v>
      </x:c>
      <x:c r="E5" s="71" t="n">
        <x:v>50</x:v>
      </x:c>
      <x:c r="F5" s="32" t="str">
        <x:v>SIMULATED</x:v>
      </x:c>
      <x:c r="G5" s="32" t="str"/>
      <x:c r="H5" s="77"/>
      <x:c r="I5" s="77"/>
      <x:c r="J5" s="77"/>
      <x:c r="K5" s="32" t="str">
        <x:v>Planung</x:v>
      </x:c>
      <x:c r="L5" s="96" t="b">
        <x:v>0</x:v>
      </x:c>
    </x:row>
    <x:row r="6">
      <x:c r="A6" s="98"/>
      <x:c r="B6" s="98"/>
      <x:c r="C6" s="98"/>
      <x:c r="D6" s="98"/>
      <x:c r="E6" s="100"/>
      <x:c r="F6" s="98"/>
      <x:c r="G6" s="98"/>
      <x:c r="H6" s="101"/>
      <x:c r="I6" s="101"/>
      <x:c r="J6" s="101"/>
      <x:c r="K6" s="98"/>
      <x:c r="L6" s="98"/>
    </x:row>
    <x:row r="7">
      <x:c r="A7" s="98"/>
      <x:c r="B7" s="98"/>
      <x:c r="C7" s="98"/>
      <x:c r="D7" s="98"/>
      <x:c r="E7" s="100"/>
      <x:c r="F7" s="98"/>
      <x:c r="G7" s="98"/>
      <x:c r="H7" s="101"/>
      <x:c r="I7" s="101"/>
      <x:c r="J7" s="101"/>
      <x:c r="K7" s="98"/>
      <x:c r="L7" s="98"/>
    </x:row>
    <x:row r="8">
      <x:c r="A8" s="98"/>
      <x:c r="B8" s="98"/>
      <x:c r="C8" s="98"/>
      <x:c r="D8" s="98"/>
      <x:c r="E8" s="100"/>
      <x:c r="F8" s="98"/>
      <x:c r="G8" s="98"/>
      <x:c r="H8" s="101"/>
      <x:c r="I8" s="101"/>
      <x:c r="J8" s="101"/>
      <x:c r="K8" s="98"/>
      <x:c r="L8" s="98"/>
    </x:row>
    <x:row r="9">
      <x:c r="A9" s="98"/>
      <x:c r="B9" s="98"/>
      <x:c r="C9" s="98"/>
      <x:c r="D9" s="98"/>
      <x:c r="E9" s="100"/>
      <x:c r="F9" s="98"/>
      <x:c r="G9" s="98"/>
      <x:c r="H9" s="101"/>
      <x:c r="I9" s="101"/>
      <x:c r="J9" s="101"/>
      <x:c r="K9" s="98"/>
      <x:c r="L9" s="98"/>
    </x:row>
    <x:row r="10">
      <x:c r="A10" s="98"/>
      <x:c r="B10" s="98"/>
      <x:c r="C10" s="98"/>
      <x:c r="D10" s="98"/>
      <x:c r="E10" s="100"/>
      <x:c r="F10" s="98"/>
      <x:c r="G10" s="98"/>
      <x:c r="H10" s="101"/>
      <x:c r="I10" s="101"/>
      <x:c r="J10" s="101"/>
      <x:c r="K10" s="98"/>
      <x:c r="L10" s="98"/>
    </x:row>
    <x:row r="11">
      <x:c r="A11" s="98"/>
      <x:c r="B11" s="98"/>
      <x:c r="C11" s="98"/>
      <x:c r="D11" s="98"/>
      <x:c r="E11" s="100"/>
      <x:c r="F11" s="98"/>
      <x:c r="G11" s="98"/>
      <x:c r="H11" s="101"/>
      <x:c r="I11" s="101"/>
      <x:c r="J11" s="101"/>
      <x:c r="K11" s="98"/>
      <x:c r="L11" s="98"/>
    </x:row>
    <x:row r="12">
      <x:c r="A12" s="98"/>
      <x:c r="B12" s="98"/>
      <x:c r="C12" s="98"/>
      <x:c r="D12" s="98"/>
      <x:c r="E12" s="100"/>
      <x:c r="F12" s="98"/>
      <x:c r="G12" s="98"/>
      <x:c r="H12" s="101"/>
      <x:c r="I12" s="101"/>
      <x:c r="J12" s="101"/>
      <x:c r="K12" s="98"/>
      <x:c r="L12" s="98"/>
    </x:row>
    <x:row r="13">
      <x:c r="A13" s="98"/>
      <x:c r="B13" s="98"/>
      <x:c r="C13" s="98"/>
      <x:c r="D13" s="98"/>
      <x:c r="E13" s="100"/>
      <x:c r="F13" s="98"/>
      <x:c r="G13" s="98"/>
      <x:c r="H13" s="101"/>
      <x:c r="I13" s="101"/>
      <x:c r="J13" s="101"/>
      <x:c r="K13" s="98"/>
      <x:c r="L13" s="98"/>
    </x:row>
    <x:row r="14">
      <x:c r="A14" s="98"/>
      <x:c r="B14" s="98"/>
      <x:c r="C14" s="98"/>
      <x:c r="D14" s="98"/>
      <x:c r="E14" s="100"/>
      <x:c r="F14" s="98"/>
      <x:c r="G14" s="98"/>
      <x:c r="H14" s="101"/>
      <x:c r="I14" s="101"/>
      <x:c r="J14" s="101"/>
      <x:c r="K14" s="98"/>
      <x:c r="L14" s="98"/>
    </x:row>
    <x:row r="15">
      <x:c r="A15" s="98"/>
      <x:c r="B15" s="98"/>
      <x:c r="C15" s="98"/>
      <x:c r="D15" s="98"/>
      <x:c r="E15" s="100"/>
      <x:c r="F15" s="98"/>
      <x:c r="G15" s="98"/>
      <x:c r="H15" s="101"/>
      <x:c r="I15" s="101"/>
      <x:c r="J15" s="101"/>
      <x:c r="K15" s="98"/>
      <x:c r="L15" s="98"/>
    </x:row>
    <x:row r="16">
      <x:c r="A16" s="98"/>
      <x:c r="B16" s="98"/>
      <x:c r="C16" s="98"/>
      <x:c r="D16" s="98"/>
      <x:c r="E16" s="100"/>
      <x:c r="F16" s="98"/>
      <x:c r="G16" s="98"/>
      <x:c r="H16" s="101"/>
      <x:c r="I16" s="101"/>
      <x:c r="J16" s="101"/>
      <x:c r="K16" s="98"/>
      <x:c r="L16" s="98"/>
    </x:row>
    <x:row r="17">
      <x:c r="A17" s="98"/>
      <x:c r="B17" s="98"/>
      <x:c r="C17" s="98"/>
      <x:c r="D17" s="98"/>
      <x:c r="E17" s="100"/>
      <x:c r="F17" s="98"/>
      <x:c r="G17" s="98"/>
      <x:c r="H17" s="101"/>
      <x:c r="I17" s="101"/>
      <x:c r="J17" s="101"/>
      <x:c r="K17" s="98"/>
      <x:c r="L17" s="98"/>
    </x:row>
    <x:row r="18">
      <x:c r="A18" s="98"/>
      <x:c r="B18" s="98"/>
      <x:c r="C18" s="98"/>
      <x:c r="D18" s="98"/>
      <x:c r="E18" s="100"/>
      <x:c r="F18" s="98"/>
      <x:c r="G18" s="98"/>
      <x:c r="H18" s="101"/>
      <x:c r="I18" s="101"/>
      <x:c r="J18" s="101"/>
      <x:c r="K18" s="98"/>
      <x:c r="L18" s="98"/>
    </x:row>
    <x:row r="19">
      <x:c r="A19" s="98"/>
      <x:c r="B19" s="98"/>
      <x:c r="C19" s="98"/>
      <x:c r="D19" s="98"/>
      <x:c r="E19" s="100"/>
      <x:c r="F19" s="98"/>
      <x:c r="G19" s="98"/>
      <x:c r="H19" s="101"/>
      <x:c r="I19" s="101"/>
      <x:c r="J19" s="101"/>
      <x:c r="K19" s="98"/>
      <x:c r="L19" s="98"/>
    </x:row>
    <x:row r="20">
      <x:c r="A20" s="98"/>
      <x:c r="B20" s="98"/>
      <x:c r="C20" s="98"/>
      <x:c r="D20" s="98"/>
      <x:c r="E20" s="100"/>
      <x:c r="F20" s="98"/>
      <x:c r="G20" s="98"/>
      <x:c r="H20" s="101"/>
      <x:c r="I20" s="101"/>
      <x:c r="J20" s="101"/>
      <x:c r="K20" s="98"/>
      <x:c r="L20" s="98"/>
    </x:row>
    <x:row r="21">
      <x:c r="A21" s="98"/>
      <x:c r="B21" s="98"/>
      <x:c r="C21" s="98"/>
      <x:c r="D21" s="98"/>
      <x:c r="E21" s="100"/>
      <x:c r="F21" s="98"/>
      <x:c r="G21" s="98"/>
      <x:c r="H21" s="101"/>
      <x:c r="I21" s="101"/>
      <x:c r="J21" s="101"/>
      <x:c r="K21" s="98"/>
      <x:c r="L21" s="98"/>
    </x:row>
    <x:row r="22">
      <x:c r="A22" s="98"/>
      <x:c r="B22" s="98"/>
      <x:c r="C22" s="98"/>
      <x:c r="D22" s="98"/>
      <x:c r="E22" s="100"/>
      <x:c r="F22" s="98"/>
      <x:c r="G22" s="98"/>
      <x:c r="H22" s="101"/>
      <x:c r="I22" s="101"/>
      <x:c r="J22" s="101"/>
      <x:c r="K22" s="98"/>
      <x:c r="L22" s="98"/>
    </x:row>
    <x:row r="23">
      <x:c r="A23" s="98"/>
      <x:c r="B23" s="98"/>
      <x:c r="C23" s="98"/>
      <x:c r="D23" s="98"/>
      <x:c r="E23" s="100"/>
      <x:c r="F23" s="98"/>
      <x:c r="G23" s="98"/>
      <x:c r="H23" s="101"/>
      <x:c r="I23" s="101"/>
      <x:c r="J23" s="101"/>
      <x:c r="K23" s="98"/>
      <x:c r="L23" s="98"/>
    </x:row>
    <x:row r="24">
      <x:c r="A24" s="98"/>
      <x:c r="B24" s="98"/>
      <x:c r="C24" s="98"/>
      <x:c r="D24" s="98"/>
      <x:c r="E24" s="100"/>
      <x:c r="F24" s="98"/>
      <x:c r="G24" s="98"/>
      <x:c r="H24" s="101"/>
      <x:c r="I24" s="101"/>
      <x:c r="J24" s="101"/>
      <x:c r="K24" s="98"/>
      <x:c r="L24" s="98"/>
    </x:row>
    <x:row r="25">
      <x:c r="A25" s="98"/>
      <x:c r="B25" s="98"/>
      <x:c r="C25" s="98"/>
      <x:c r="D25" s="98"/>
      <x:c r="E25" s="100"/>
      <x:c r="F25" s="98"/>
      <x:c r="G25" s="98"/>
      <x:c r="H25" s="101"/>
      <x:c r="I25" s="101"/>
      <x:c r="J25" s="101"/>
      <x:c r="K25" s="98"/>
      <x:c r="L25" s="98"/>
    </x:row>
    <x:row r="26">
      <x:c r="A26" s="98"/>
      <x:c r="B26" s="98"/>
      <x:c r="C26" s="98"/>
      <x:c r="D26" s="98"/>
      <x:c r="E26" s="100"/>
      <x:c r="F26" s="98"/>
      <x:c r="G26" s="98"/>
      <x:c r="H26" s="101"/>
      <x:c r="I26" s="101"/>
      <x:c r="J26" s="101"/>
      <x:c r="K26" s="98"/>
      <x:c r="L26" s="98"/>
    </x:row>
    <x:row r="27">
      <x:c r="A27" s="98"/>
      <x:c r="B27" s="98"/>
      <x:c r="C27" s="98"/>
      <x:c r="D27" s="98"/>
      <x:c r="E27" s="100"/>
      <x:c r="F27" s="98"/>
      <x:c r="G27" s="98"/>
      <x:c r="H27" s="101"/>
      <x:c r="I27" s="101"/>
      <x:c r="J27" s="101"/>
      <x:c r="K27" s="98"/>
      <x:c r="L27" s="98"/>
    </x:row>
    <x:row r="28">
      <x:c r="A28" s="98"/>
      <x:c r="B28" s="98"/>
      <x:c r="C28" s="98"/>
      <x:c r="D28" s="98"/>
      <x:c r="E28" s="100"/>
      <x:c r="F28" s="98"/>
      <x:c r="G28" s="98"/>
      <x:c r="H28" s="101"/>
      <x:c r="I28" s="101"/>
      <x:c r="J28" s="101"/>
      <x:c r="K28" s="98"/>
      <x:c r="L28" s="98"/>
    </x:row>
    <x:row r="29">
      <x:c r="A29" s="98"/>
      <x:c r="B29" s="98"/>
      <x:c r="C29" s="98"/>
      <x:c r="D29" s="98"/>
      <x:c r="E29" s="100"/>
      <x:c r="F29" s="98"/>
      <x:c r="G29" s="98"/>
      <x:c r="H29" s="101"/>
      <x:c r="I29" s="101"/>
      <x:c r="J29" s="101"/>
      <x:c r="K29" s="98"/>
      <x:c r="L29" s="98"/>
    </x:row>
    <x:row r="30">
      <x:c r="A30" s="98"/>
      <x:c r="B30" s="98"/>
      <x:c r="C30" s="98"/>
      <x:c r="D30" s="98"/>
      <x:c r="E30" s="100"/>
      <x:c r="F30" s="98"/>
      <x:c r="G30" s="98"/>
      <x:c r="H30" s="101"/>
      <x:c r="I30" s="101"/>
      <x:c r="J30" s="101"/>
      <x:c r="K30" s="98"/>
      <x:c r="L30" s="98"/>
    </x:row>
    <x:row r="31">
      <x:c r="A31" s="98"/>
      <x:c r="B31" s="98"/>
      <x:c r="C31" s="98"/>
      <x:c r="D31" s="98"/>
      <x:c r="E31" s="100"/>
      <x:c r="F31" s="98"/>
      <x:c r="G31" s="98"/>
      <x:c r="H31" s="101"/>
      <x:c r="I31" s="101"/>
      <x:c r="J31" s="101"/>
      <x:c r="K31" s="98"/>
      <x:c r="L31" s="98"/>
    </x:row>
    <x:row r="32">
      <x:c r="A32" s="98"/>
      <x:c r="B32" s="98"/>
      <x:c r="C32" s="98"/>
      <x:c r="D32" s="98"/>
      <x:c r="E32" s="100"/>
      <x:c r="F32" s="98"/>
      <x:c r="G32" s="98"/>
      <x:c r="H32" s="101"/>
      <x:c r="I32" s="101"/>
      <x:c r="J32" s="101"/>
      <x:c r="K32" s="98"/>
      <x:c r="L32" s="98"/>
    </x:row>
    <x:row r="33">
      <x:c r="A33" s="98"/>
      <x:c r="B33" s="98"/>
      <x:c r="C33" s="98"/>
      <x:c r="D33" s="98"/>
      <x:c r="E33" s="100"/>
      <x:c r="F33" s="98"/>
      <x:c r="G33" s="98"/>
      <x:c r="H33" s="101"/>
      <x:c r="I33" s="101"/>
      <x:c r="J33" s="101"/>
      <x:c r="K33" s="98"/>
      <x:c r="L33" s="98"/>
    </x:row>
    <x:row r="34">
      <x:c r="A34" s="98"/>
      <x:c r="B34" s="98"/>
      <x:c r="C34" s="98"/>
      <x:c r="D34" s="98"/>
      <x:c r="E34" s="100"/>
      <x:c r="F34" s="98"/>
      <x:c r="G34" s="98"/>
      <x:c r="H34" s="101"/>
      <x:c r="I34" s="101"/>
      <x:c r="J34" s="101"/>
      <x:c r="K34" s="98"/>
      <x:c r="L34" s="98"/>
    </x:row>
    <x:row r="35">
      <x:c r="A35" s="98"/>
      <x:c r="B35" s="98"/>
      <x:c r="C35" s="98"/>
      <x:c r="D35" s="98"/>
      <x:c r="E35" s="100"/>
      <x:c r="F35" s="98"/>
      <x:c r="G35" s="98"/>
      <x:c r="H35" s="101"/>
      <x:c r="I35" s="101"/>
      <x:c r="J35" s="101"/>
      <x:c r="K35" s="98"/>
      <x:c r="L35" s="98"/>
    </x:row>
    <x:row r="36">
      <x:c r="A36" s="98"/>
      <x:c r="B36" s="98"/>
      <x:c r="C36" s="98"/>
      <x:c r="D36" s="98"/>
      <x:c r="E36" s="100"/>
      <x:c r="F36" s="98"/>
      <x:c r="G36" s="98"/>
      <x:c r="H36" s="101"/>
      <x:c r="I36" s="101"/>
      <x:c r="J36" s="101"/>
      <x:c r="K36" s="98"/>
      <x:c r="L36" s="98"/>
    </x:row>
    <x:row r="37">
      <x:c r="A37" s="98"/>
      <x:c r="B37" s="98"/>
      <x:c r="C37" s="98"/>
      <x:c r="D37" s="98"/>
      <x:c r="E37" s="100"/>
      <x:c r="F37" s="98"/>
      <x:c r="G37" s="98"/>
      <x:c r="H37" s="101"/>
      <x:c r="I37" s="101"/>
      <x:c r="J37" s="101"/>
      <x:c r="K37" s="98"/>
      <x:c r="L37" s="98"/>
    </x:row>
    <x:row r="38">
      <x:c r="A38" s="98"/>
      <x:c r="B38" s="98"/>
      <x:c r="C38" s="98"/>
      <x:c r="D38" s="98"/>
      <x:c r="E38" s="100"/>
      <x:c r="F38" s="98"/>
      <x:c r="G38" s="98"/>
      <x:c r="H38" s="101"/>
      <x:c r="I38" s="101"/>
      <x:c r="J38" s="101"/>
      <x:c r="K38" s="98"/>
      <x:c r="L38" s="98"/>
    </x:row>
    <x:row r="39">
      <x:c r="A39" s="98"/>
      <x:c r="B39" s="98"/>
      <x:c r="C39" s="98"/>
      <x:c r="D39" s="98"/>
      <x:c r="E39" s="100"/>
      <x:c r="F39" s="98"/>
      <x:c r="G39" s="98"/>
      <x:c r="H39" s="101"/>
      <x:c r="I39" s="101"/>
      <x:c r="J39" s="101"/>
      <x:c r="K39" s="98"/>
      <x:c r="L39" s="98"/>
    </x:row>
    <x:row r="40">
      <x:c r="A40" s="98"/>
      <x:c r="B40" s="98"/>
      <x:c r="C40" s="98"/>
      <x:c r="D40" s="98"/>
      <x:c r="E40" s="100"/>
      <x:c r="F40" s="98"/>
      <x:c r="G40" s="98"/>
      <x:c r="H40" s="101"/>
      <x:c r="I40" s="101"/>
      <x:c r="J40" s="101"/>
      <x:c r="K40" s="98"/>
      <x:c r="L40" s="98"/>
    </x:row>
    <x:row r="41">
      <x:c r="A41" s="98"/>
      <x:c r="B41" s="98"/>
      <x:c r="C41" s="98"/>
      <x:c r="D41" s="98"/>
      <x:c r="E41" s="100"/>
      <x:c r="F41" s="98"/>
      <x:c r="G41" s="98"/>
      <x:c r="H41" s="101"/>
      <x:c r="I41" s="101"/>
      <x:c r="J41" s="101"/>
      <x:c r="K41" s="98"/>
      <x:c r="L41" s="98"/>
    </x:row>
    <x:row r="42">
      <x:c r="A42" s="98"/>
      <x:c r="B42" s="98"/>
      <x:c r="C42" s="98"/>
      <x:c r="D42" s="98"/>
      <x:c r="E42" s="100"/>
      <x:c r="F42" s="98"/>
      <x:c r="G42" s="98"/>
      <x:c r="H42" s="101"/>
      <x:c r="I42" s="101"/>
      <x:c r="J42" s="101"/>
      <x:c r="K42" s="98"/>
      <x:c r="L42" s="98"/>
    </x:row>
    <x:row r="43">
      <x:c r="A43" s="98"/>
      <x:c r="B43" s="98"/>
      <x:c r="C43" s="98"/>
      <x:c r="D43" s="98"/>
      <x:c r="E43" s="100"/>
      <x:c r="F43" s="98"/>
      <x:c r="G43" s="98"/>
      <x:c r="H43" s="101"/>
      <x:c r="I43" s="101"/>
      <x:c r="J43" s="101"/>
      <x:c r="K43" s="98"/>
      <x:c r="L43" s="98"/>
    </x:row>
    <x:row r="44">
      <x:c r="A44" s="98"/>
      <x:c r="B44" s="98"/>
      <x:c r="C44" s="98"/>
      <x:c r="D44" s="98"/>
      <x:c r="E44" s="100"/>
      <x:c r="F44" s="98"/>
      <x:c r="G44" s="98"/>
      <x:c r="H44" s="101"/>
      <x:c r="I44" s="101"/>
      <x:c r="J44" s="101"/>
      <x:c r="K44" s="98"/>
      <x:c r="L44" s="98"/>
    </x:row>
    <x:row r="45">
      <x:c r="A45" s="98"/>
      <x:c r="B45" s="98"/>
      <x:c r="C45" s="98"/>
      <x:c r="D45" s="98"/>
      <x:c r="E45" s="100"/>
      <x:c r="F45" s="98"/>
      <x:c r="G45" s="98"/>
      <x:c r="H45" s="101"/>
      <x:c r="I45" s="101"/>
      <x:c r="J45" s="101"/>
      <x:c r="K45" s="98"/>
      <x:c r="L45" s="98"/>
    </x:row>
    <x:row r="46">
      <x:c r="A46" s="98"/>
      <x:c r="B46" s="98"/>
      <x:c r="C46" s="98"/>
      <x:c r="D46" s="98"/>
      <x:c r="E46" s="100"/>
      <x:c r="F46" s="98"/>
      <x:c r="G46" s="98"/>
      <x:c r="H46" s="101"/>
      <x:c r="I46" s="101"/>
      <x:c r="J46" s="101"/>
      <x:c r="K46" s="98"/>
      <x:c r="L46" s="98"/>
    </x:row>
    <x:row r="47">
      <x:c r="A47" s="98"/>
      <x:c r="B47" s="98"/>
      <x:c r="C47" s="98"/>
      <x:c r="D47" s="98"/>
      <x:c r="E47" s="100"/>
      <x:c r="F47" s="98"/>
      <x:c r="G47" s="98"/>
      <x:c r="H47" s="101"/>
      <x:c r="I47" s="101"/>
      <x:c r="J47" s="101"/>
      <x:c r="K47" s="98"/>
      <x:c r="L47" s="98"/>
    </x:row>
    <x:row r="48">
      <x:c r="A48" s="98"/>
      <x:c r="B48" s="98"/>
      <x:c r="C48" s="98"/>
      <x:c r="D48" s="98"/>
      <x:c r="E48" s="100"/>
      <x:c r="F48" s="98"/>
      <x:c r="G48" s="98"/>
      <x:c r="H48" s="101"/>
      <x:c r="I48" s="101"/>
      <x:c r="J48" s="101"/>
      <x:c r="K48" s="98"/>
      <x:c r="L48" s="98"/>
    </x:row>
    <x:row r="49">
      <x:c r="A49" s="98"/>
      <x:c r="B49" s="98"/>
      <x:c r="C49" s="98"/>
      <x:c r="D49" s="98"/>
      <x:c r="E49" s="100"/>
      <x:c r="F49" s="98"/>
      <x:c r="G49" s="98"/>
      <x:c r="H49" s="101"/>
      <x:c r="I49" s="101"/>
      <x:c r="J49" s="101"/>
      <x:c r="K49" s="98"/>
      <x:c r="L49" s="98"/>
    </x:row>
    <x:row r="50">
      <x:c r="A50" s="98"/>
      <x:c r="B50" s="98"/>
      <x:c r="C50" s="98"/>
      <x:c r="D50" s="98"/>
      <x:c r="E50" s="100"/>
      <x:c r="F50" s="98"/>
      <x:c r="G50" s="98"/>
      <x:c r="H50" s="101"/>
      <x:c r="I50" s="101"/>
      <x:c r="J50" s="101"/>
      <x:c r="K50" s="98"/>
      <x:c r="L50" s="98"/>
    </x:row>
    <x:row r="51">
      <x:c r="A51" s="98"/>
      <x:c r="B51" s="98"/>
      <x:c r="C51" s="98"/>
      <x:c r="D51" s="98"/>
      <x:c r="E51" s="100"/>
      <x:c r="F51" s="98"/>
      <x:c r="G51" s="98"/>
      <x:c r="H51" s="101"/>
      <x:c r="I51" s="101"/>
      <x:c r="J51" s="101"/>
      <x:c r="K51" s="98"/>
      <x:c r="L51" s="98"/>
    </x:row>
    <x:row r="52">
      <x:c r="A52" s="98"/>
      <x:c r="B52" s="98"/>
      <x:c r="C52" s="98"/>
      <x:c r="D52" s="98"/>
      <x:c r="E52" s="100"/>
      <x:c r="F52" s="98"/>
      <x:c r="G52" s="98"/>
      <x:c r="H52" s="101"/>
      <x:c r="I52" s="101"/>
      <x:c r="J52" s="101"/>
      <x:c r="K52" s="98"/>
      <x:c r="L52" s="98"/>
    </x:row>
    <x:row r="53">
      <x:c r="A53" s="98"/>
      <x:c r="B53" s="98"/>
      <x:c r="C53" s="98"/>
      <x:c r="D53" s="98"/>
      <x:c r="E53" s="100"/>
      <x:c r="F53" s="98"/>
      <x:c r="G53" s="98"/>
      <x:c r="H53" s="101"/>
      <x:c r="I53" s="101"/>
      <x:c r="J53" s="101"/>
      <x:c r="K53" s="98"/>
      <x:c r="L53" s="98"/>
    </x:row>
    <x:row r="54">
      <x:c r="A54" s="98"/>
      <x:c r="B54" s="98"/>
      <x:c r="C54" s="98"/>
      <x:c r="D54" s="98"/>
      <x:c r="E54" s="100"/>
      <x:c r="F54" s="98"/>
      <x:c r="G54" s="98"/>
      <x:c r="H54" s="101"/>
      <x:c r="I54" s="101"/>
      <x:c r="J54" s="101"/>
      <x:c r="K54" s="98"/>
      <x:c r="L54" s="98"/>
    </x:row>
    <x:row r="55">
      <x:c r="A55" s="98"/>
      <x:c r="B55" s="98"/>
      <x:c r="C55" s="98"/>
      <x:c r="D55" s="98"/>
      <x:c r="E55" s="100"/>
      <x:c r="F55" s="98"/>
      <x:c r="G55" s="98"/>
      <x:c r="H55" s="101"/>
      <x:c r="I55" s="101"/>
      <x:c r="J55" s="101"/>
      <x:c r="K55" s="98"/>
      <x:c r="L55" s="98"/>
    </x:row>
    <x:row r="56">
      <x:c r="A56" s="98"/>
      <x:c r="B56" s="98"/>
      <x:c r="C56" s="98"/>
      <x:c r="D56" s="98"/>
      <x:c r="E56" s="100"/>
      <x:c r="F56" s="98"/>
      <x:c r="G56" s="98"/>
      <x:c r="H56" s="101"/>
      <x:c r="I56" s="101"/>
      <x:c r="J56" s="101"/>
      <x:c r="K56" s="98"/>
      <x:c r="L56" s="98"/>
    </x:row>
    <x:row r="57">
      <x:c r="A57" s="98"/>
      <x:c r="B57" s="98"/>
      <x:c r="C57" s="98"/>
      <x:c r="D57" s="98"/>
      <x:c r="E57" s="100"/>
      <x:c r="F57" s="98"/>
      <x:c r="G57" s="98"/>
      <x:c r="H57" s="101"/>
      <x:c r="I57" s="101"/>
      <x:c r="J57" s="101"/>
      <x:c r="K57" s="98"/>
      <x:c r="L57" s="98"/>
    </x:row>
    <x:row r="58">
      <x:c r="A58" s="98"/>
      <x:c r="B58" s="98"/>
      <x:c r="C58" s="98"/>
      <x:c r="D58" s="98"/>
      <x:c r="E58" s="100"/>
      <x:c r="F58" s="98"/>
      <x:c r="G58" s="98"/>
      <x:c r="H58" s="101"/>
      <x:c r="I58" s="101"/>
      <x:c r="J58" s="101"/>
      <x:c r="K58" s="98"/>
      <x:c r="L58" s="98"/>
    </x:row>
    <x:row r="59">
      <x:c r="A59" s="98"/>
      <x:c r="B59" s="98"/>
      <x:c r="C59" s="98"/>
      <x:c r="D59" s="98"/>
      <x:c r="E59" s="100"/>
      <x:c r="F59" s="98"/>
      <x:c r="G59" s="98"/>
      <x:c r="H59" s="101"/>
      <x:c r="I59" s="101"/>
      <x:c r="J59" s="101"/>
      <x:c r="K59" s="98"/>
      <x:c r="L59" s="98"/>
    </x:row>
    <x:row r="60">
      <x:c r="A60" s="98"/>
      <x:c r="B60" s="98"/>
      <x:c r="C60" s="98"/>
      <x:c r="D60" s="98"/>
      <x:c r="E60" s="100"/>
      <x:c r="F60" s="98"/>
      <x:c r="G60" s="98"/>
      <x:c r="H60" s="101"/>
      <x:c r="I60" s="101"/>
      <x:c r="J60" s="101"/>
      <x:c r="K60" s="98"/>
      <x:c r="L60" s="98"/>
    </x:row>
    <x:row r="61">
      <x:c r="A61" s="98"/>
      <x:c r="B61" s="98"/>
      <x:c r="C61" s="98"/>
      <x:c r="D61" s="98"/>
      <x:c r="E61" s="100"/>
      <x:c r="F61" s="98"/>
      <x:c r="G61" s="98"/>
      <x:c r="H61" s="101"/>
      <x:c r="I61" s="101"/>
      <x:c r="J61" s="101"/>
      <x:c r="K61" s="98"/>
      <x:c r="L61" s="98"/>
    </x:row>
    <x:row r="62">
      <x:c r="A62" s="98"/>
      <x:c r="B62" s="98"/>
      <x:c r="C62" s="98"/>
      <x:c r="D62" s="98"/>
      <x:c r="E62" s="100"/>
      <x:c r="F62" s="98"/>
      <x:c r="G62" s="98"/>
      <x:c r="H62" s="101"/>
      <x:c r="I62" s="101"/>
      <x:c r="J62" s="101"/>
      <x:c r="K62" s="98"/>
      <x:c r="L62" s="98"/>
    </x:row>
    <x:row r="63">
      <x:c r="A63" s="98"/>
      <x:c r="B63" s="98"/>
      <x:c r="C63" s="98"/>
      <x:c r="D63" s="98"/>
      <x:c r="E63" s="100"/>
      <x:c r="F63" s="98"/>
      <x:c r="G63" s="98"/>
      <x:c r="H63" s="101"/>
      <x:c r="I63" s="101"/>
      <x:c r="J63" s="101"/>
      <x:c r="K63" s="98"/>
      <x:c r="L63" s="98"/>
    </x:row>
    <x:row r="64">
      <x:c r="A64" s="98"/>
      <x:c r="B64" s="98"/>
      <x:c r="C64" s="98"/>
      <x:c r="D64" s="98"/>
      <x:c r="E64" s="100"/>
      <x:c r="F64" s="98"/>
      <x:c r="G64" s="98"/>
      <x:c r="H64" s="101"/>
      <x:c r="I64" s="101"/>
      <x:c r="J64" s="101"/>
      <x:c r="K64" s="98"/>
      <x:c r="L64" s="98"/>
    </x:row>
    <x:row r="65">
      <x:c r="A65" s="98"/>
      <x:c r="B65" s="98"/>
      <x:c r="C65" s="98"/>
      <x:c r="D65" s="98"/>
      <x:c r="E65" s="100"/>
      <x:c r="F65" s="98"/>
      <x:c r="G65" s="98"/>
      <x:c r="H65" s="101"/>
      <x:c r="I65" s="101"/>
      <x:c r="J65" s="101"/>
      <x:c r="K65" s="98"/>
      <x:c r="L65" s="98"/>
    </x:row>
    <x:row r="66">
      <x:c r="A66" s="98"/>
      <x:c r="B66" s="98"/>
      <x:c r="C66" s="98"/>
      <x:c r="D66" s="98"/>
      <x:c r="E66" s="100"/>
      <x:c r="F66" s="98"/>
      <x:c r="G66" s="98"/>
      <x:c r="H66" s="101"/>
      <x:c r="I66" s="101"/>
      <x:c r="J66" s="101"/>
      <x:c r="K66" s="98"/>
      <x:c r="L66" s="98"/>
    </x:row>
    <x:row r="67">
      <x:c r="A67" s="98"/>
      <x:c r="B67" s="98"/>
      <x:c r="C67" s="98"/>
      <x:c r="D67" s="98"/>
      <x:c r="E67" s="100"/>
      <x:c r="F67" s="98"/>
      <x:c r="G67" s="98"/>
      <x:c r="H67" s="101"/>
      <x:c r="I67" s="101"/>
      <x:c r="J67" s="101"/>
      <x:c r="K67" s="98"/>
      <x:c r="L67" s="98"/>
    </x:row>
    <x:row r="68">
      <x:c r="A68" s="98"/>
      <x:c r="B68" s="98"/>
      <x:c r="C68" s="98"/>
      <x:c r="D68" s="98"/>
      <x:c r="E68" s="100"/>
      <x:c r="F68" s="98"/>
      <x:c r="G68" s="98"/>
      <x:c r="H68" s="101"/>
      <x:c r="I68" s="101"/>
      <x:c r="J68" s="101"/>
      <x:c r="K68" s="98"/>
      <x:c r="L68" s="98"/>
    </x:row>
    <x:row r="69">
      <x:c r="A69" s="98"/>
      <x:c r="B69" s="98"/>
      <x:c r="C69" s="98"/>
      <x:c r="D69" s="98"/>
      <x:c r="E69" s="100"/>
      <x:c r="F69" s="98"/>
      <x:c r="G69" s="98"/>
      <x:c r="H69" s="101"/>
      <x:c r="I69" s="101"/>
      <x:c r="J69" s="101"/>
      <x:c r="K69" s="98"/>
      <x:c r="L69" s="98"/>
    </x:row>
    <x:row r="70">
      <x:c r="A70" s="98"/>
      <x:c r="B70" s="98"/>
      <x:c r="C70" s="98"/>
      <x:c r="D70" s="98"/>
      <x:c r="E70" s="100"/>
      <x:c r="F70" s="98"/>
      <x:c r="G70" s="98"/>
      <x:c r="H70" s="101"/>
      <x:c r="I70" s="101"/>
      <x:c r="J70" s="101"/>
      <x:c r="K70" s="98"/>
      <x:c r="L70" s="98"/>
    </x:row>
    <x:row r="71">
      <x:c r="A71" s="98"/>
      <x:c r="B71" s="98"/>
      <x:c r="C71" s="98"/>
      <x:c r="D71" s="98"/>
      <x:c r="E71" s="100"/>
      <x:c r="F71" s="98"/>
      <x:c r="G71" s="98"/>
      <x:c r="H71" s="101"/>
      <x:c r="I71" s="101"/>
      <x:c r="J71" s="101"/>
      <x:c r="K71" s="98"/>
      <x:c r="L71" s="98"/>
    </x:row>
    <x:row r="72">
      <x:c r="A72" s="98"/>
      <x:c r="B72" s="98"/>
      <x:c r="C72" s="98"/>
      <x:c r="D72" s="98"/>
      <x:c r="E72" s="100"/>
      <x:c r="F72" s="98"/>
      <x:c r="G72" s="98"/>
      <x:c r="H72" s="101"/>
      <x:c r="I72" s="101"/>
      <x:c r="J72" s="101"/>
      <x:c r="K72" s="98"/>
      <x:c r="L72" s="98"/>
    </x:row>
    <x:row r="73">
      <x:c r="A73" s="98"/>
      <x:c r="B73" s="98"/>
      <x:c r="C73" s="98"/>
      <x:c r="D73" s="98"/>
      <x:c r="E73" s="100"/>
      <x:c r="F73" s="98"/>
      <x:c r="G73" s="98"/>
      <x:c r="H73" s="101"/>
      <x:c r="I73" s="101"/>
      <x:c r="J73" s="101"/>
      <x:c r="K73" s="98"/>
      <x:c r="L73" s="98"/>
    </x:row>
    <x:row r="74">
      <x:c r="A74" s="98"/>
      <x:c r="B74" s="98"/>
      <x:c r="C74" s="98"/>
      <x:c r="D74" s="98"/>
      <x:c r="E74" s="100"/>
      <x:c r="F74" s="98"/>
      <x:c r="G74" s="98"/>
      <x:c r="H74" s="101"/>
      <x:c r="I74" s="101"/>
      <x:c r="J74" s="101"/>
      <x:c r="K74" s="98"/>
      <x:c r="L74" s="98"/>
    </x:row>
    <x:row r="75">
      <x:c r="A75" s="98"/>
      <x:c r="B75" s="98"/>
      <x:c r="C75" s="98"/>
      <x:c r="D75" s="98"/>
      <x:c r="E75" s="100"/>
      <x:c r="F75" s="98"/>
      <x:c r="G75" s="98"/>
      <x:c r="H75" s="101"/>
      <x:c r="I75" s="101"/>
      <x:c r="J75" s="101"/>
      <x:c r="K75" s="98"/>
      <x:c r="L75" s="98"/>
    </x:row>
    <x:row r="76">
      <x:c r="A76" s="98"/>
      <x:c r="B76" s="98"/>
      <x:c r="C76" s="98"/>
      <x:c r="D76" s="98"/>
      <x:c r="E76" s="100"/>
      <x:c r="F76" s="98"/>
      <x:c r="G76" s="98"/>
      <x:c r="H76" s="101"/>
      <x:c r="I76" s="101"/>
      <x:c r="J76" s="101"/>
      <x:c r="K76" s="98"/>
      <x:c r="L76" s="98"/>
    </x:row>
    <x:row r="77">
      <x:c r="A77" s="98"/>
      <x:c r="B77" s="98"/>
      <x:c r="C77" s="98"/>
      <x:c r="D77" s="98"/>
      <x:c r="E77" s="100"/>
      <x:c r="F77" s="98"/>
      <x:c r="G77" s="98"/>
      <x:c r="H77" s="101"/>
      <x:c r="I77" s="101"/>
      <x:c r="J77" s="101"/>
      <x:c r="K77" s="98"/>
      <x:c r="L77" s="98"/>
    </x:row>
    <x:row r="78">
      <x:c r="A78" s="98"/>
      <x:c r="B78" s="98"/>
      <x:c r="C78" s="98"/>
      <x:c r="D78" s="98"/>
      <x:c r="E78" s="100"/>
      <x:c r="F78" s="98"/>
      <x:c r="G78" s="98"/>
      <x:c r="H78" s="101"/>
      <x:c r="I78" s="101"/>
      <x:c r="J78" s="101"/>
      <x:c r="K78" s="98"/>
      <x:c r="L78" s="98"/>
    </x:row>
    <x:row r="79">
      <x:c r="A79" s="98"/>
      <x:c r="B79" s="98"/>
      <x:c r="C79" s="98"/>
      <x:c r="D79" s="98"/>
      <x:c r="E79" s="100"/>
      <x:c r="F79" s="98"/>
      <x:c r="G79" s="98"/>
      <x:c r="H79" s="101"/>
      <x:c r="I79" s="101"/>
      <x:c r="J79" s="101"/>
      <x:c r="K79" s="98"/>
      <x:c r="L79" s="98"/>
    </x:row>
    <x:row r="80">
      <x:c r="A80" s="98"/>
      <x:c r="B80" s="98"/>
      <x:c r="C80" s="98"/>
      <x:c r="D80" s="98"/>
      <x:c r="E80" s="100"/>
      <x:c r="F80" s="98"/>
      <x:c r="G80" s="98"/>
      <x:c r="H80" s="101"/>
      <x:c r="I80" s="101"/>
      <x:c r="J80" s="101"/>
      <x:c r="K80" s="98"/>
      <x:c r="L80" s="98"/>
    </x:row>
    <x:row r="81">
      <x:c r="A81" s="98"/>
      <x:c r="B81" s="98"/>
      <x:c r="C81" s="98"/>
      <x:c r="D81" s="98"/>
      <x:c r="E81" s="100"/>
      <x:c r="F81" s="98"/>
      <x:c r="G81" s="98"/>
      <x:c r="H81" s="101"/>
      <x:c r="I81" s="101"/>
      <x:c r="J81" s="101"/>
      <x:c r="K81" s="98"/>
      <x:c r="L81" s="98"/>
    </x:row>
    <x:row r="82">
      <x:c r="A82" s="98"/>
      <x:c r="B82" s="98"/>
      <x:c r="C82" s="98"/>
      <x:c r="D82" s="98"/>
      <x:c r="E82" s="100"/>
      <x:c r="F82" s="98"/>
      <x:c r="G82" s="98"/>
      <x:c r="H82" s="101"/>
      <x:c r="I82" s="101"/>
      <x:c r="J82" s="101"/>
      <x:c r="K82" s="98"/>
      <x:c r="L82" s="98"/>
    </x:row>
    <x:row r="83">
      <x:c r="A83" s="98"/>
      <x:c r="B83" s="98"/>
      <x:c r="C83" s="98"/>
      <x:c r="D83" s="98"/>
      <x:c r="E83" s="100"/>
      <x:c r="F83" s="98"/>
      <x:c r="G83" s="98"/>
      <x:c r="H83" s="101"/>
      <x:c r="I83" s="101"/>
      <x:c r="J83" s="101"/>
      <x:c r="K83" s="98"/>
      <x:c r="L83" s="98"/>
    </x:row>
    <x:row r="84">
      <x:c r="A84" s="98"/>
      <x:c r="B84" s="98"/>
      <x:c r="C84" s="98"/>
      <x:c r="D84" s="98"/>
      <x:c r="E84" s="100"/>
      <x:c r="F84" s="98"/>
      <x:c r="G84" s="98"/>
      <x:c r="H84" s="101"/>
      <x:c r="I84" s="101"/>
      <x:c r="J84" s="101"/>
      <x:c r="K84" s="98"/>
      <x:c r="L84" s="98"/>
    </x:row>
    <x:row r="85">
      <x:c r="A85" s="98"/>
      <x:c r="B85" s="98"/>
      <x:c r="C85" s="98"/>
      <x:c r="D85" s="98"/>
      <x:c r="E85" s="100"/>
      <x:c r="F85" s="98"/>
      <x:c r="G85" s="98"/>
      <x:c r="H85" s="101"/>
      <x:c r="I85" s="101"/>
      <x:c r="J85" s="101"/>
      <x:c r="K85" s="98"/>
      <x:c r="L85" s="98"/>
    </x:row>
    <x:row r="86">
      <x:c r="A86" s="98"/>
      <x:c r="B86" s="98"/>
      <x:c r="C86" s="98"/>
      <x:c r="D86" s="98"/>
      <x:c r="E86" s="100"/>
      <x:c r="F86" s="98"/>
      <x:c r="G86" s="98"/>
      <x:c r="H86" s="101"/>
      <x:c r="I86" s="101"/>
      <x:c r="J86" s="101"/>
      <x:c r="K86" s="98"/>
      <x:c r="L86" s="98"/>
    </x:row>
    <x:row r="87">
      <x:c r="A87" s="98"/>
      <x:c r="B87" s="98"/>
      <x:c r="C87" s="98"/>
      <x:c r="D87" s="98"/>
      <x:c r="E87" s="100"/>
      <x:c r="F87" s="98"/>
      <x:c r="G87" s="98"/>
      <x:c r="H87" s="101"/>
      <x:c r="I87" s="101"/>
      <x:c r="J87" s="101"/>
      <x:c r="K87" s="98"/>
      <x:c r="L87" s="98"/>
    </x:row>
    <x:row r="88">
      <x:c r="A88" s="98"/>
      <x:c r="B88" s="98"/>
      <x:c r="C88" s="98"/>
      <x:c r="D88" s="98"/>
      <x:c r="E88" s="100"/>
      <x:c r="F88" s="98"/>
      <x:c r="G88" s="98"/>
      <x:c r="H88" s="101"/>
      <x:c r="I88" s="101"/>
      <x:c r="J88" s="101"/>
      <x:c r="K88" s="98"/>
      <x:c r="L88" s="98"/>
    </x:row>
    <x:row r="89">
      <x:c r="A89" s="98"/>
      <x:c r="B89" s="98"/>
      <x:c r="C89" s="98"/>
      <x:c r="D89" s="98"/>
      <x:c r="E89" s="100"/>
      <x:c r="F89" s="98"/>
      <x:c r="G89" s="98"/>
      <x:c r="H89" s="101"/>
      <x:c r="I89" s="101"/>
      <x:c r="J89" s="101"/>
      <x:c r="K89" s="98"/>
      <x:c r="L89" s="98"/>
    </x:row>
    <x:row r="90">
      <x:c r="A90" s="98"/>
      <x:c r="B90" s="98"/>
      <x:c r="C90" s="98"/>
      <x:c r="D90" s="98"/>
      <x:c r="E90" s="100"/>
      <x:c r="F90" s="98"/>
      <x:c r="G90" s="98"/>
      <x:c r="H90" s="101"/>
      <x:c r="I90" s="101"/>
      <x:c r="J90" s="101"/>
      <x:c r="K90" s="98"/>
      <x:c r="L90" s="98"/>
    </x:row>
    <x:row r="91">
      <x:c r="A91" s="98"/>
      <x:c r="B91" s="98"/>
      <x:c r="C91" s="98"/>
      <x:c r="D91" s="98"/>
      <x:c r="E91" s="100"/>
      <x:c r="F91" s="98"/>
      <x:c r="G91" s="98"/>
      <x:c r="H91" s="101"/>
      <x:c r="I91" s="101"/>
      <x:c r="J91" s="101"/>
      <x:c r="K91" s="98"/>
      <x:c r="L91" s="98"/>
    </x:row>
    <x:row r="92">
      <x:c r="A92" s="98"/>
      <x:c r="B92" s="98"/>
      <x:c r="C92" s="98"/>
      <x:c r="D92" s="98"/>
      <x:c r="E92" s="100"/>
      <x:c r="F92" s="98"/>
      <x:c r="G92" s="98"/>
      <x:c r="H92" s="101"/>
      <x:c r="I92" s="101"/>
      <x:c r="J92" s="101"/>
      <x:c r="K92" s="98"/>
      <x:c r="L92" s="98"/>
    </x:row>
    <x:row r="93">
      <x:c r="A93" s="98"/>
      <x:c r="B93" s="98"/>
      <x:c r="C93" s="98"/>
      <x:c r="D93" s="98"/>
      <x:c r="E93" s="100"/>
      <x:c r="F93" s="98"/>
      <x:c r="G93" s="98"/>
      <x:c r="H93" s="101"/>
      <x:c r="I93" s="101"/>
      <x:c r="J93" s="101"/>
      <x:c r="K93" s="98"/>
      <x:c r="L93" s="98"/>
    </x:row>
    <x:row r="94">
      <x:c r="A94" s="98"/>
      <x:c r="B94" s="98"/>
      <x:c r="C94" s="98"/>
      <x:c r="D94" s="98"/>
      <x:c r="E94" s="100"/>
      <x:c r="F94" s="98"/>
      <x:c r="G94" s="98"/>
      <x:c r="H94" s="101"/>
      <x:c r="I94" s="101"/>
      <x:c r="J94" s="101"/>
      <x:c r="K94" s="98"/>
      <x:c r="L94" s="98"/>
    </x:row>
    <x:row r="95">
      <x:c r="A95" s="98"/>
      <x:c r="B95" s="98"/>
      <x:c r="C95" s="98"/>
      <x:c r="D95" s="98"/>
      <x:c r="E95" s="100"/>
      <x:c r="F95" s="98"/>
      <x:c r="G95" s="98"/>
      <x:c r="H95" s="101"/>
      <x:c r="I95" s="101"/>
      <x:c r="J95" s="101"/>
      <x:c r="K95" s="98"/>
      <x:c r="L95" s="98"/>
    </x:row>
    <x:row r="96">
      <x:c r="A96" s="98"/>
      <x:c r="B96" s="98"/>
      <x:c r="C96" s="98"/>
      <x:c r="D96" s="98"/>
      <x:c r="E96" s="100"/>
      <x:c r="F96" s="98"/>
      <x:c r="G96" s="98"/>
      <x:c r="H96" s="101"/>
      <x:c r="I96" s="101"/>
      <x:c r="J96" s="101"/>
      <x:c r="K96" s="98"/>
      <x:c r="L96" s="98"/>
    </x:row>
    <x:row r="97">
      <x:c r="A97" s="98"/>
      <x:c r="B97" s="98"/>
      <x:c r="C97" s="98"/>
      <x:c r="D97" s="98"/>
      <x:c r="E97" s="100"/>
      <x:c r="F97" s="98"/>
      <x:c r="G97" s="98"/>
      <x:c r="H97" s="101"/>
      <x:c r="I97" s="101"/>
      <x:c r="J97" s="101"/>
      <x:c r="K97" s="98"/>
      <x:c r="L97" s="98"/>
    </x:row>
    <x:row r="98">
      <x:c r="A98" s="98"/>
      <x:c r="B98" s="98"/>
      <x:c r="C98" s="98"/>
      <x:c r="D98" s="98"/>
      <x:c r="E98" s="100"/>
      <x:c r="F98" s="98"/>
      <x:c r="G98" s="98"/>
      <x:c r="H98" s="101"/>
      <x:c r="I98" s="101"/>
      <x:c r="J98" s="101"/>
      <x:c r="K98" s="98"/>
      <x:c r="L98" s="98"/>
    </x:row>
    <x:row r="99">
      <x:c r="A99" s="98"/>
      <x:c r="B99" s="98"/>
      <x:c r="C99" s="98"/>
      <x:c r="D99" s="98"/>
      <x:c r="E99" s="100"/>
      <x:c r="F99" s="98"/>
      <x:c r="G99" s="98"/>
      <x:c r="H99" s="101"/>
      <x:c r="I99" s="101"/>
      <x:c r="J99" s="101"/>
      <x:c r="K99" s="98"/>
      <x:c r="L99" s="98"/>
    </x:row>
    <x:row r="100">
      <x:c r="A100" s="98"/>
      <x:c r="B100" s="98"/>
      <x:c r="C100" s="98"/>
      <x:c r="D100" s="98"/>
      <x:c r="E100" s="100"/>
      <x:c r="F100" s="98"/>
      <x:c r="G100" s="98"/>
      <x:c r="H100" s="101"/>
      <x:c r="I100" s="101"/>
      <x:c r="J100" s="101"/>
      <x:c r="K100" s="98"/>
      <x:c r="L100" s="98"/>
    </x:row>
    <x:row r="101">
      <x:c r="E101" s="72"/>
      <x:c r="H101" s="78"/>
      <x:c r="I101" s="78"/>
      <x:c r="J101" s="78"/>
    </x:row>
    <x:row r="102">
      <x:c r="E102" s="72"/>
      <x:c r="H102" s="78"/>
      <x:c r="I102" s="78"/>
      <x:c r="J102" s="78"/>
    </x:row>
    <x:row r="103">
      <x:c r="E103" s="72"/>
      <x:c r="H103" s="78"/>
      <x:c r="I103" s="78"/>
      <x:c r="J103" s="78"/>
    </x:row>
    <x:row r="104">
      <x:c r="E104" s="72"/>
      <x:c r="H104" s="78"/>
      <x:c r="I104" s="78"/>
      <x:c r="J104" s="78"/>
    </x:row>
    <x:row r="105">
      <x:c r="E105" s="72"/>
      <x:c r="H105" s="78"/>
      <x:c r="I105" s="78"/>
      <x:c r="J105" s="78"/>
    </x:row>
    <x:row r="106">
      <x:c r="E106" s="72"/>
      <x:c r="H106" s="78"/>
      <x:c r="I106" s="78"/>
      <x:c r="J106" s="78"/>
    </x:row>
    <x:row r="107">
      <x:c r="E107" s="72"/>
      <x:c r="H107" s="78"/>
      <x:c r="I107" s="78"/>
      <x:c r="J107" s="78"/>
    </x:row>
    <x:row r="108">
      <x:c r="E108" s="72"/>
      <x:c r="H108" s="78"/>
      <x:c r="I108" s="78"/>
      <x:c r="J108" s="78"/>
    </x:row>
    <x:row r="109">
      <x:c r="E109" s="72"/>
      <x:c r="H109" s="78"/>
      <x:c r="I109" s="78"/>
      <x:c r="J109" s="78"/>
    </x:row>
    <x:row r="110">
      <x:c r="E110" s="72"/>
      <x:c r="H110" s="78"/>
      <x:c r="I110" s="78"/>
      <x:c r="J110" s="78"/>
    </x:row>
    <x:row r="111">
      <x:c r="E111" s="72"/>
      <x:c r="H111" s="78"/>
      <x:c r="I111" s="78"/>
      <x:c r="J111" s="78"/>
    </x:row>
    <x:row r="112">
      <x:c r="E112" s="72"/>
      <x:c r="H112" s="78"/>
      <x:c r="I112" s="78"/>
      <x:c r="J112" s="78"/>
    </x:row>
    <x:row r="113">
      <x:c r="E113" s="72"/>
      <x:c r="H113" s="78"/>
      <x:c r="I113" s="78"/>
      <x:c r="J113" s="78"/>
    </x:row>
    <x:row r="114">
      <x:c r="E114" s="72"/>
      <x:c r="H114" s="78"/>
      <x:c r="I114" s="78"/>
      <x:c r="J114" s="78"/>
    </x:row>
    <x:row r="115">
      <x:c r="E115" s="72"/>
      <x:c r="H115" s="78"/>
      <x:c r="I115" s="78"/>
      <x:c r="J115" s="78"/>
    </x:row>
    <x:row r="116">
      <x:c r="E116" s="72"/>
      <x:c r="H116" s="78"/>
      <x:c r="I116" s="78"/>
      <x:c r="J116" s="78"/>
    </x:row>
    <x:row r="117">
      <x:c r="E117" s="72"/>
      <x:c r="H117" s="78"/>
      <x:c r="I117" s="78"/>
      <x:c r="J117" s="78"/>
    </x:row>
    <x:row r="118">
      <x:c r="E118" s="72"/>
      <x:c r="H118" s="78"/>
      <x:c r="I118" s="78"/>
      <x:c r="J118" s="78"/>
    </x:row>
    <x:row r="119">
      <x:c r="E119" s="72"/>
      <x:c r="H119" s="78"/>
      <x:c r="I119" s="78"/>
      <x:c r="J119" s="78"/>
    </x:row>
    <x:row r="120">
      <x:c r="E120" s="72"/>
      <x:c r="H120" s="78"/>
      <x:c r="I120" s="78"/>
      <x:c r="J120" s="78"/>
    </x:row>
    <x:row r="121">
      <x:c r="E121" s="72"/>
      <x:c r="H121" s="78"/>
      <x:c r="I121" s="78"/>
      <x:c r="J121" s="78"/>
    </x:row>
    <x:row r="122">
      <x:c r="E122" s="72"/>
      <x:c r="H122" s="78"/>
      <x:c r="I122" s="78"/>
      <x:c r="J122" s="78"/>
    </x:row>
    <x:row r="123">
      <x:c r="E123" s="72"/>
      <x:c r="H123" s="78"/>
      <x:c r="I123" s="78"/>
      <x:c r="J123" s="78"/>
    </x:row>
    <x:row r="124">
      <x:c r="E124" s="72"/>
      <x:c r="H124" s="78"/>
      <x:c r="I124" s="78"/>
      <x:c r="J124" s="78"/>
    </x:row>
    <x:row r="125">
      <x:c r="E125" s="72"/>
      <x:c r="H125" s="78"/>
      <x:c r="I125" s="78"/>
      <x:c r="J125" s="78"/>
    </x:row>
    <x:row r="126">
      <x:c r="E126" s="72"/>
      <x:c r="H126" s="78"/>
      <x:c r="I126" s="78"/>
      <x:c r="J126" s="78"/>
    </x:row>
    <x:row r="127">
      <x:c r="E127" s="72"/>
      <x:c r="H127" s="78"/>
      <x:c r="I127" s="78"/>
      <x:c r="J127" s="78"/>
    </x:row>
    <x:row r="128">
      <x:c r="E128" s="72"/>
      <x:c r="H128" s="78"/>
      <x:c r="I128" s="78"/>
      <x:c r="J128" s="78"/>
    </x:row>
    <x:row r="129">
      <x:c r="E129" s="72"/>
      <x:c r="H129" s="78"/>
      <x:c r="I129" s="78"/>
      <x:c r="J129" s="78"/>
    </x:row>
    <x:row r="130">
      <x:c r="E130" s="72"/>
      <x:c r="H130" s="78"/>
      <x:c r="I130" s="78"/>
      <x:c r="J130" s="78"/>
    </x:row>
    <x:row r="131">
      <x:c r="E131" s="72"/>
      <x:c r="H131" s="78"/>
      <x:c r="I131" s="78"/>
      <x:c r="J131" s="78"/>
    </x:row>
    <x:row r="132">
      <x:c r="E132" s="72"/>
      <x:c r="H132" s="78"/>
      <x:c r="I132" s="78"/>
      <x:c r="J132" s="78"/>
    </x:row>
    <x:row r="133">
      <x:c r="E133" s="72"/>
      <x:c r="H133" s="78"/>
      <x:c r="I133" s="78"/>
      <x:c r="J133" s="78"/>
    </x:row>
    <x:row r="134">
      <x:c r="E134" s="72"/>
      <x:c r="H134" s="78"/>
      <x:c r="I134" s="78"/>
      <x:c r="J134" s="78"/>
    </x:row>
    <x:row r="135">
      <x:c r="E135" s="72"/>
      <x:c r="H135" s="78"/>
      <x:c r="I135" s="78"/>
      <x:c r="J135" s="78"/>
    </x:row>
    <x:row r="136">
      <x:c r="E136" s="72"/>
      <x:c r="H136" s="78"/>
      <x:c r="I136" s="78"/>
      <x:c r="J136" s="78"/>
    </x:row>
    <x:row r="137">
      <x:c r="E137" s="72"/>
      <x:c r="H137" s="78"/>
      <x:c r="I137" s="78"/>
      <x:c r="J137" s="78"/>
    </x:row>
    <x:row r="138">
      <x:c r="E138" s="72"/>
      <x:c r="H138" s="78"/>
      <x:c r="I138" s="78"/>
      <x:c r="J138" s="78"/>
    </x:row>
    <x:row r="139">
      <x:c r="E139" s="72"/>
      <x:c r="H139" s="78"/>
      <x:c r="I139" s="78"/>
      <x:c r="J139" s="78"/>
    </x:row>
    <x:row r="140">
      <x:c r="E140" s="72"/>
      <x:c r="H140" s="78"/>
      <x:c r="I140" s="78"/>
      <x:c r="J140" s="78"/>
    </x:row>
    <x:row r="141">
      <x:c r="E141" s="72"/>
      <x:c r="H141" s="78"/>
      <x:c r="I141" s="78"/>
      <x:c r="J141" s="78"/>
    </x:row>
    <x:row r="142">
      <x:c r="E142" s="72"/>
      <x:c r="H142" s="78"/>
      <x:c r="I142" s="78"/>
      <x:c r="J142" s="78"/>
    </x:row>
    <x:row r="143">
      <x:c r="E143" s="72"/>
      <x:c r="H143" s="78"/>
      <x:c r="I143" s="78"/>
      <x:c r="J143" s="78"/>
    </x:row>
    <x:row r="144">
      <x:c r="E144" s="72"/>
      <x:c r="H144" s="78"/>
      <x:c r="I144" s="78"/>
      <x:c r="J144" s="78"/>
    </x:row>
    <x:row r="145">
      <x:c r="E145" s="72"/>
      <x:c r="H145" s="78"/>
      <x:c r="I145" s="78"/>
      <x:c r="J145" s="78"/>
    </x:row>
    <x:row r="146">
      <x:c r="E146" s="72"/>
      <x:c r="H146" s="78"/>
      <x:c r="I146" s="78"/>
      <x:c r="J146" s="78"/>
    </x:row>
    <x:row r="147">
      <x:c r="E147" s="72"/>
      <x:c r="H147" s="78"/>
      <x:c r="I147" s="78"/>
      <x:c r="J147" s="78"/>
    </x:row>
    <x:row r="148">
      <x:c r="E148" s="72"/>
      <x:c r="H148" s="78"/>
      <x:c r="I148" s="78"/>
      <x:c r="J148" s="78"/>
    </x:row>
    <x:row r="149">
      <x:c r="E149" s="72"/>
      <x:c r="H149" s="78"/>
      <x:c r="I149" s="78"/>
      <x:c r="J149" s="78"/>
    </x:row>
    <x:row r="150">
      <x:c r="E150" s="72"/>
      <x:c r="H150" s="78"/>
      <x:c r="I150" s="78"/>
      <x:c r="J150" s="78"/>
    </x:row>
    <x:row r="151">
      <x:c r="E151" s="72"/>
      <x:c r="H151" s="78"/>
      <x:c r="I151" s="78"/>
      <x:c r="J151" s="78"/>
    </x:row>
    <x:row r="152">
      <x:c r="E152" s="72"/>
      <x:c r="H152" s="78"/>
      <x:c r="I152" s="78"/>
      <x:c r="J152" s="78"/>
    </x:row>
    <x:row r="153">
      <x:c r="E153" s="72"/>
      <x:c r="H153" s="78"/>
      <x:c r="I153" s="78"/>
      <x:c r="J153" s="78"/>
    </x:row>
    <x:row r="154">
      <x:c r="E154" s="72"/>
      <x:c r="H154" s="78"/>
      <x:c r="I154" s="78"/>
      <x:c r="J154" s="78"/>
    </x:row>
    <x:row r="155">
      <x:c r="E155" s="72"/>
      <x:c r="H155" s="78"/>
      <x:c r="I155" s="78"/>
      <x:c r="J155" s="78"/>
    </x:row>
    <x:row r="156">
      <x:c r="E156" s="72"/>
      <x:c r="H156" s="78"/>
      <x:c r="I156" s="78"/>
      <x:c r="J156" s="78"/>
    </x:row>
    <x:row r="157">
      <x:c r="E157" s="72"/>
      <x:c r="H157" s="78"/>
      <x:c r="I157" s="78"/>
      <x:c r="J157" s="78"/>
    </x:row>
    <x:row r="158">
      <x:c r="E158" s="72"/>
      <x:c r="H158" s="78"/>
      <x:c r="I158" s="78"/>
      <x:c r="J158" s="78"/>
    </x:row>
    <x:row r="159">
      <x:c r="E159" s="72"/>
      <x:c r="H159" s="78"/>
      <x:c r="I159" s="78"/>
      <x:c r="J159" s="78"/>
    </x:row>
    <x:row r="160">
      <x:c r="E160" s="72"/>
      <x:c r="H160" s="78"/>
      <x:c r="I160" s="78"/>
      <x:c r="J160" s="78"/>
    </x:row>
    <x:row r="161">
      <x:c r="E161" s="72"/>
      <x:c r="H161" s="78"/>
      <x:c r="I161" s="78"/>
      <x:c r="J161" s="78"/>
    </x:row>
    <x:row r="162">
      <x:c r="E162" s="72"/>
      <x:c r="H162" s="78"/>
      <x:c r="I162" s="78"/>
      <x:c r="J162" s="78"/>
    </x:row>
    <x:row r="163">
      <x:c r="E163" s="72"/>
      <x:c r="H163" s="78"/>
      <x:c r="I163" s="78"/>
      <x:c r="J163" s="78"/>
    </x:row>
    <x:row r="164">
      <x:c r="E164" s="72"/>
      <x:c r="H164" s="78"/>
      <x:c r="I164" s="78"/>
      <x:c r="J164" s="78"/>
    </x:row>
    <x:row r="165">
      <x:c r="E165" s="72"/>
      <x:c r="H165" s="78"/>
      <x:c r="I165" s="78"/>
      <x:c r="J165" s="78"/>
    </x:row>
    <x:row r="166">
      <x:c r="E166" s="72"/>
      <x:c r="H166" s="78"/>
      <x:c r="I166" s="78"/>
      <x:c r="J166" s="78"/>
    </x:row>
    <x:row r="167">
      <x:c r="E167" s="72"/>
      <x:c r="H167" s="78"/>
      <x:c r="I167" s="78"/>
      <x:c r="J167" s="78"/>
    </x:row>
    <x:row r="168">
      <x:c r="E168" s="72"/>
      <x:c r="H168" s="78"/>
      <x:c r="I168" s="78"/>
      <x:c r="J168" s="78"/>
    </x:row>
    <x:row r="169">
      <x:c r="E169" s="72"/>
      <x:c r="H169" s="78"/>
      <x:c r="I169" s="78"/>
      <x:c r="J169" s="78"/>
    </x:row>
    <x:row r="170">
      <x:c r="E170" s="72"/>
      <x:c r="H170" s="78"/>
      <x:c r="I170" s="78"/>
      <x:c r="J170" s="78"/>
    </x:row>
    <x:row r="171">
      <x:c r="E171" s="72"/>
      <x:c r="H171" s="78"/>
      <x:c r="I171" s="78"/>
      <x:c r="J171" s="78"/>
    </x:row>
    <x:row r="172">
      <x:c r="E172" s="72"/>
      <x:c r="H172" s="78"/>
      <x:c r="I172" s="78"/>
      <x:c r="J172" s="78"/>
    </x:row>
    <x:row r="173">
      <x:c r="E173" s="72"/>
      <x:c r="H173" s="78"/>
      <x:c r="I173" s="78"/>
      <x:c r="J173" s="78"/>
    </x:row>
    <x:row r="174">
      <x:c r="E174" s="72"/>
      <x:c r="H174" s="78"/>
      <x:c r="I174" s="78"/>
      <x:c r="J174" s="78"/>
    </x:row>
    <x:row r="175">
      <x:c r="E175" s="72"/>
      <x:c r="H175" s="78"/>
      <x:c r="I175" s="78"/>
      <x:c r="J175" s="78"/>
    </x:row>
    <x:row r="176">
      <x:c r="E176" s="72"/>
      <x:c r="H176" s="78"/>
      <x:c r="I176" s="78"/>
      <x:c r="J176" s="78"/>
    </x:row>
    <x:row r="177">
      <x:c r="E177" s="72"/>
      <x:c r="H177" s="78"/>
      <x:c r="I177" s="78"/>
      <x:c r="J177" s="78"/>
    </x:row>
    <x:row r="178">
      <x:c r="E178" s="72"/>
      <x:c r="H178" s="78"/>
      <x:c r="I178" s="78"/>
      <x:c r="J178" s="78"/>
    </x:row>
    <x:row r="179">
      <x:c r="E179" s="72"/>
      <x:c r="H179" s="78"/>
      <x:c r="I179" s="78"/>
      <x:c r="J179" s="78"/>
    </x:row>
    <x:row r="180">
      <x:c r="E180" s="72"/>
      <x:c r="H180" s="78"/>
      <x:c r="I180" s="78"/>
      <x:c r="J180" s="78"/>
    </x:row>
    <x:row r="181">
      <x:c r="E181" s="72"/>
      <x:c r="H181" s="78"/>
      <x:c r="I181" s="78"/>
      <x:c r="J181" s="78"/>
    </x:row>
    <x:row r="182">
      <x:c r="E182" s="72"/>
      <x:c r="H182" s="78"/>
      <x:c r="I182" s="78"/>
      <x:c r="J182" s="78"/>
    </x:row>
    <x:row r="183">
      <x:c r="E183" s="72"/>
      <x:c r="H183" s="78"/>
      <x:c r="I183" s="78"/>
      <x:c r="J183" s="78"/>
    </x:row>
    <x:row r="184">
      <x:c r="E184" s="72"/>
      <x:c r="H184" s="78"/>
      <x:c r="I184" s="78"/>
      <x:c r="J184" s="78"/>
    </x:row>
    <x:row r="185">
      <x:c r="E185" s="72"/>
      <x:c r="H185" s="78"/>
      <x:c r="I185" s="78"/>
      <x:c r="J185" s="78"/>
    </x:row>
    <x:row r="186">
      <x:c r="E186" s="72"/>
      <x:c r="H186" s="78"/>
      <x:c r="I186" s="78"/>
      <x:c r="J186" s="78"/>
    </x:row>
    <x:row r="187">
      <x:c r="E187" s="72"/>
      <x:c r="H187" s="78"/>
      <x:c r="I187" s="78"/>
      <x:c r="J187" s="78"/>
    </x:row>
    <x:row r="188">
      <x:c r="E188" s="72"/>
      <x:c r="H188" s="78"/>
      <x:c r="I188" s="78"/>
      <x:c r="J188" s="78"/>
    </x:row>
    <x:row r="189">
      <x:c r="E189" s="72"/>
      <x:c r="H189" s="78"/>
      <x:c r="I189" s="78"/>
      <x:c r="J189" s="78"/>
    </x:row>
    <x:row r="190">
      <x:c r="E190" s="72"/>
      <x:c r="H190" s="78"/>
      <x:c r="I190" s="78"/>
      <x:c r="J190" s="78"/>
    </x:row>
    <x:row r="191">
      <x:c r="E191" s="72"/>
      <x:c r="H191" s="78"/>
      <x:c r="I191" s="78"/>
      <x:c r="J191" s="78"/>
    </x:row>
    <x:row r="192">
      <x:c r="E192" s="72"/>
      <x:c r="H192" s="78"/>
      <x:c r="I192" s="78"/>
      <x:c r="J192" s="78"/>
    </x:row>
    <x:row r="193">
      <x:c r="E193" s="72"/>
      <x:c r="H193" s="78"/>
      <x:c r="I193" s="78"/>
      <x:c r="J193" s="78"/>
    </x:row>
    <x:row r="194">
      <x:c r="E194" s="72"/>
      <x:c r="H194" s="78"/>
      <x:c r="I194" s="78"/>
      <x:c r="J194" s="78"/>
    </x:row>
    <x:row r="195">
      <x:c r="E195" s="72"/>
      <x:c r="H195" s="78"/>
      <x:c r="I195" s="78"/>
      <x:c r="J195" s="78"/>
    </x:row>
    <x:row r="196">
      <x:c r="E196" s="72"/>
      <x:c r="H196" s="78"/>
      <x:c r="I196" s="78"/>
      <x:c r="J196" s="78"/>
    </x:row>
    <x:row r="197">
      <x:c r="E197" s="72"/>
      <x:c r="H197" s="78"/>
      <x:c r="I197" s="78"/>
      <x:c r="J197" s="78"/>
    </x:row>
    <x:row r="198">
      <x:c r="E198" s="72"/>
      <x:c r="H198" s="78"/>
      <x:c r="I198" s="78"/>
      <x:c r="J198" s="78"/>
    </x:row>
    <x:row r="199">
      <x:c r="E199" s="72"/>
      <x:c r="H199" s="78"/>
      <x:c r="I199" s="78"/>
      <x:c r="J199" s="78"/>
    </x:row>
    <x:row r="200">
      <x:c r="E200" s="72"/>
      <x:c r="H200" s="78"/>
      <x:c r="I200" s="78"/>
      <x:c r="J200" s="78"/>
    </x:row>
  </x:sheetData>
  <x:mergeCells>
    <x:mergeCell ref="A1:L1"/>
  </x:mergeCells>
  <x:dataValidations count="3">
    <x:dataValidation type="list" sqref="D4:D200">
      <x:formula1>"Bestand,Planung"</x:formula1>
    </x:dataValidation>
    <x:dataValidation type="list" sqref="F4:F200">
      <x:formula1>"MEASURED,SIMULATED,SCALED_PROFILE"</x:formula1>
    </x:dataValidation>
    <x:dataValidation type="list" sqref="L4:L2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18" hidden="0" customWidth="1"/>
    <x:col min="5" max="5" width="10" hidden="0" customWidth="1"/>
    <x:col min="6" max="6" width="16" hidden="0" customWidth="1"/>
    <x:col min="7" max="7" width="12" hidden="0" customWidth="1"/>
    <x:col min="8" max="8" width="32" hidden="0" customWidth="1"/>
    <x:col min="9" max="9" width="13" hidden="0" customWidth="1"/>
    <x:col min="10" max="10" width="48" hidden="0" customWidth="1"/>
  </x:cols>
  <x:sheetData>
    <x:row r="1" ht="26" customHeight="1">
      <x:c r="A1" s="4" t="str">
        <x:v>Messdaten – reale Referenz für Bilanz und Kalibrierung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8" customHeight="1">
      <x:c r="A3" s="26" t="str">
        <x:v>mess_id</x:v>
      </x:c>
      <x:c r="B3" s="26" t="str">
        <x:v>bezeichnung</x:v>
      </x:c>
      <x:c r="C3" s="26" t="str">
        <x:v>messpunkt</x:v>
      </x:c>
      <x:c r="D3" s="26" t="str">
        <x:v>bilanzrolle</x:v>
      </x:c>
      <x:c r="E3" s="26" t="str">
        <x:v>einheit</x:v>
      </x:c>
      <x:c r="F3" s="26" t="str">
        <x:v>zeitraster_min</x:v>
      </x:c>
      <x:c r="G3" s="26" t="str">
        <x:v>zeitraum</x:v>
      </x:c>
      <x:c r="H3" s="26" t="str">
        <x:v>dateipfad</x:v>
      </x:c>
      <x:c r="I3" s="26" t="str">
        <x:v>qualitaet</x:v>
      </x:c>
      <x:c r="J3" s="26" t="str">
        <x:v>bilanzgrenze_hinweis</x:v>
      </x:c>
    </x:row>
    <x:row r="4">
      <x:c r="A4" s="32" t="str">
        <x:v>M001</x:v>
      </x:c>
      <x:c r="B4" s="32" t="str">
        <x:v>Netzlastgang Unternehmen</x:v>
      </x:c>
      <x:c r="C4" s="32" t="str">
        <x:v>Hauptzähler</x:v>
      </x:c>
      <x:c r="D4" s="32" t="str">
        <x:v>Netzbezug</x:v>
      </x:c>
      <x:c r="E4" s="32" t="str">
        <x:v>kW</x:v>
      </x:c>
      <x:c r="F4" s="32" t="n">
        <x:v>15</x:v>
      </x:c>
      <x:c r="G4" s="32" t="str">
        <x:v>2025</x:v>
      </x:c>
      <x:c r="H4" s="32" t="str">
        <x:v>data/raw/netzbezug_2025.csv</x:v>
      </x:c>
      <x:c r="I4" s="32" t="str">
        <x:v>hoch</x:v>
      </x:c>
      <x:c r="J4" s="32" t="str">
        <x:v>Prüfen: Netto-Netzbezug oder Bruttoverbrauch?</x:v>
      </x:c>
    </x:row>
    <x:row r="5">
      <x:c r="A5" s="32" t="str">
        <x:v>M002</x:v>
      </x:c>
      <x:c r="B5" s="32" t="str">
        <x:v>PV Erzeugung Dach 1</x:v>
      </x:c>
      <x:c r="C5" s="32" t="str">
        <x:v>PV Wechselrichter</x:v>
      </x:c>
      <x:c r="D5" s="32" t="str">
        <x:v>Erzeugung</x:v>
      </x:c>
      <x:c r="E5" s="32" t="str">
        <x:v>kW</x:v>
      </x:c>
      <x:c r="F5" s="32" t="n">
        <x:v>15</x:v>
      </x:c>
      <x:c r="G5" s="32" t="str">
        <x:v>2025</x:v>
      </x:c>
      <x:c r="H5" s="32" t="str">
        <x:v>data/raw/pv_01.csv</x:v>
      </x:c>
      <x:c r="I5" s="32" t="str">
        <x:v>hoch</x:v>
      </x:c>
      <x:c r="J5" s="32" t="str">
        <x:v>Eigenerzeugung separat</x:v>
      </x:c>
    </x:row>
    <x:row r="6">
      <x:c r="A6" s="149" t="str">
        <x:v>M003</x:v>
      </x:c>
      <x:c r="B6" s="149" t="str">
        <x:v>Außentemperatur</x:v>
      </x:c>
      <x:c r="C6" s="149" t="str">
        <x:v>Wetterdaten</x:v>
      </x:c>
      <x:c r="D6" s="149" t="str">
        <x:v>Treiber</x:v>
      </x:c>
      <x:c r="E6" s="149" t="str">
        <x:v>°C</x:v>
      </x:c>
      <x:c r="F6" s="149" t="n">
        <x:v>15</x:v>
      </x:c>
      <x:c r="G6" s="149" t="str">
        <x:v>2025</x:v>
      </x:c>
      <x:c r="H6" s="149" t="str">
        <x:v>data/raw/aussentemperatur_2025.csv</x:v>
      </x:c>
      <x:c r="I6" s="149" t="str">
        <x:v>offen</x:v>
      </x:c>
      <x:c r="J6" s="149" t="str">
        <x:v>Kann später für Splitgeräte und thermisches Modell verwendet werden</x:v>
      </x:c>
    </x:row>
    <x:row r="7">
      <x:c r="A7" s="98"/>
      <x:c r="B7" s="98"/>
      <x:c r="C7" s="98"/>
      <x:c r="D7" s="98"/>
      <x:c r="E7" s="98"/>
      <x:c r="F7" s="98"/>
      <x:c r="G7" s="98"/>
      <x:c r="H7" s="98"/>
      <x:c r="I7" s="98"/>
      <x:c r="J7" s="98"/>
    </x:row>
    <x:row r="8">
      <x:c r="A8" s="98"/>
      <x:c r="B8" s="98"/>
      <x:c r="C8" s="98"/>
      <x:c r="D8" s="98"/>
      <x:c r="E8" s="98"/>
      <x:c r="F8" s="98"/>
      <x:c r="G8" s="98"/>
      <x:c r="H8" s="98"/>
      <x:c r="I8" s="98"/>
      <x:c r="J8" s="98"/>
    </x:row>
    <x:row r="9">
      <x:c r="A9" s="98"/>
      <x:c r="B9" s="98"/>
      <x:c r="C9" s="98"/>
      <x:c r="D9" s="98"/>
      <x:c r="E9" s="98"/>
      <x:c r="F9" s="98"/>
      <x:c r="G9" s="98"/>
      <x:c r="H9" s="98"/>
      <x:c r="I9" s="98"/>
      <x:c r="J9" s="98"/>
    </x:row>
    <x:row r="10">
      <x:c r="A10" s="98"/>
      <x:c r="B10" s="98"/>
      <x:c r="C10" s="98"/>
      <x:c r="D10" s="98"/>
      <x:c r="E10" s="98"/>
      <x:c r="F10" s="98"/>
      <x:c r="G10" s="98"/>
      <x:c r="H10" s="98"/>
      <x:c r="I10" s="98"/>
      <x:c r="J10" s="98"/>
    </x:row>
    <x:row r="11">
      <x:c r="A11" s="98"/>
      <x:c r="B11" s="98"/>
      <x:c r="C11" s="98"/>
      <x:c r="D11" s="98"/>
      <x:c r="E11" s="98"/>
      <x:c r="F11" s="98"/>
      <x:c r="G11" s="98"/>
      <x:c r="H11" s="98"/>
      <x:c r="I11" s="98"/>
      <x:c r="J11" s="98"/>
    </x:row>
    <x:row r="12">
      <x:c r="A12" s="98"/>
      <x:c r="B12" s="98"/>
      <x:c r="C12" s="98"/>
      <x:c r="D12" s="98"/>
      <x:c r="E12" s="98"/>
      <x:c r="F12" s="98"/>
      <x:c r="G12" s="98"/>
      <x:c r="H12" s="98"/>
      <x:c r="I12" s="98"/>
      <x:c r="J12" s="98"/>
    </x:row>
    <x:row r="13">
      <x:c r="A13" s="98"/>
      <x:c r="B13" s="98"/>
      <x:c r="C13" s="98"/>
      <x:c r="D13" s="98"/>
      <x:c r="E13" s="98"/>
      <x:c r="F13" s="98"/>
      <x:c r="G13" s="98"/>
      <x:c r="H13" s="98"/>
      <x:c r="I13" s="98"/>
      <x:c r="J13" s="98"/>
    </x:row>
    <x:row r="14">
      <x:c r="A14" s="98"/>
      <x:c r="B14" s="98"/>
      <x:c r="C14" s="98"/>
      <x:c r="D14" s="98"/>
      <x:c r="E14" s="98"/>
      <x:c r="F14" s="98"/>
      <x:c r="G14" s="98"/>
      <x:c r="H14" s="98"/>
      <x:c r="I14" s="98"/>
      <x:c r="J14" s="98"/>
    </x:row>
    <x:row r="15">
      <x:c r="A15" s="98"/>
      <x:c r="B15" s="98"/>
      <x:c r="C15" s="98"/>
      <x:c r="D15" s="98"/>
      <x:c r="E15" s="98"/>
      <x:c r="F15" s="98"/>
      <x:c r="G15" s="98"/>
      <x:c r="H15" s="98"/>
      <x:c r="I15" s="98"/>
      <x:c r="J15" s="98"/>
    </x:row>
    <x:row r="16">
      <x:c r="A16" s="98"/>
      <x:c r="B16" s="98"/>
      <x:c r="C16" s="98"/>
      <x:c r="D16" s="98"/>
      <x:c r="E16" s="98"/>
      <x:c r="F16" s="98"/>
      <x:c r="G16" s="98"/>
      <x:c r="H16" s="98"/>
      <x:c r="I16" s="98"/>
      <x:c r="J16" s="98"/>
    </x:row>
    <x:row r="17">
      <x:c r="A17" s="98"/>
      <x:c r="B17" s="98"/>
      <x:c r="C17" s="98"/>
      <x:c r="D17" s="98"/>
      <x:c r="E17" s="98"/>
      <x:c r="F17" s="98"/>
      <x:c r="G17" s="98"/>
      <x:c r="H17" s="98"/>
      <x:c r="I17" s="98"/>
      <x:c r="J17" s="98"/>
    </x:row>
    <x:row r="18">
      <x:c r="A18" s="98"/>
      <x:c r="B18" s="98"/>
      <x:c r="C18" s="98"/>
      <x:c r="D18" s="98"/>
      <x:c r="E18" s="98"/>
      <x:c r="F18" s="98"/>
      <x:c r="G18" s="98"/>
      <x:c r="H18" s="98"/>
      <x:c r="I18" s="98"/>
      <x:c r="J18" s="98"/>
    </x:row>
    <x:row r="19">
      <x:c r="A19" s="98"/>
      <x:c r="B19" s="98"/>
      <x:c r="C19" s="98"/>
      <x:c r="D19" s="98"/>
      <x:c r="E19" s="98"/>
      <x:c r="F19" s="98"/>
      <x:c r="G19" s="98"/>
      <x:c r="H19" s="98"/>
      <x:c r="I19" s="98"/>
      <x:c r="J19" s="98"/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</x:row>
    <x:row r="22">
      <x:c r="A22" s="98"/>
      <x:c r="B22" s="98"/>
      <x:c r="C22" s="98"/>
      <x:c r="D22" s="98"/>
      <x:c r="E22" s="98"/>
      <x:c r="F22" s="98"/>
      <x:c r="G22" s="98"/>
      <x:c r="H22" s="98"/>
      <x:c r="I22" s="98"/>
      <x:c r="J22" s="98"/>
    </x:row>
    <x:row r="23">
      <x:c r="A23" s="98"/>
      <x:c r="B23" s="98"/>
      <x:c r="C23" s="98"/>
      <x:c r="D23" s="98"/>
      <x:c r="E23" s="98"/>
      <x:c r="F23" s="98"/>
      <x:c r="G23" s="98"/>
      <x:c r="H23" s="98"/>
      <x:c r="I23" s="98"/>
      <x:c r="J23" s="98"/>
    </x:row>
    <x:row r="24">
      <x:c r="A24" s="98"/>
      <x:c r="B24" s="98"/>
      <x:c r="C24" s="98"/>
      <x:c r="D24" s="98"/>
      <x:c r="E24" s="98"/>
      <x:c r="F24" s="98"/>
      <x:c r="G24" s="98"/>
      <x:c r="H24" s="98"/>
      <x:c r="I24" s="98"/>
      <x:c r="J24" s="98"/>
    </x:row>
    <x:row r="25">
      <x:c r="A25" s="98"/>
      <x:c r="B25" s="98"/>
      <x:c r="C25" s="98"/>
      <x:c r="D25" s="98"/>
      <x:c r="E25" s="98"/>
      <x:c r="F25" s="98"/>
      <x:c r="G25" s="98"/>
      <x:c r="H25" s="98"/>
      <x:c r="I25" s="98"/>
      <x:c r="J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</x:row>
    <x:row r="31">
      <x:c r="A31" s="98"/>
      <x:c r="B31" s="98"/>
      <x:c r="C31" s="98"/>
      <x:c r="D31" s="98"/>
      <x:c r="E31" s="98"/>
      <x:c r="F31" s="98"/>
      <x:c r="G31" s="98"/>
      <x:c r="H31" s="98"/>
      <x:c r="I31" s="98"/>
      <x:c r="J31" s="98"/>
    </x:row>
    <x:row r="32">
      <x:c r="A32" s="98"/>
      <x:c r="B32" s="98"/>
      <x:c r="C32" s="98"/>
      <x:c r="D32" s="98"/>
      <x:c r="E32" s="98"/>
      <x:c r="F32" s="98"/>
      <x:c r="G32" s="98"/>
      <x:c r="H32" s="98"/>
      <x:c r="I32" s="98"/>
      <x:c r="J32" s="98"/>
    </x:row>
    <x:row r="33">
      <x:c r="A33" s="98"/>
      <x:c r="B33" s="98"/>
      <x:c r="C33" s="98"/>
      <x:c r="D33" s="98"/>
      <x:c r="E33" s="98"/>
      <x:c r="F33" s="98"/>
      <x:c r="G33" s="98"/>
      <x:c r="H33" s="98"/>
      <x:c r="I33" s="98"/>
      <x:c r="J33" s="98"/>
    </x:row>
    <x:row r="34">
      <x:c r="A34" s="98"/>
      <x:c r="B34" s="98"/>
      <x:c r="C34" s="98"/>
      <x:c r="D34" s="98"/>
      <x:c r="E34" s="98"/>
      <x:c r="F34" s="98"/>
      <x:c r="G34" s="98"/>
      <x:c r="H34" s="98"/>
      <x:c r="I34" s="98"/>
      <x:c r="J34" s="98"/>
    </x:row>
    <x:row r="35">
      <x:c r="A35" s="98"/>
      <x:c r="B35" s="98"/>
      <x:c r="C35" s="98"/>
      <x:c r="D35" s="98"/>
      <x:c r="E35" s="98"/>
      <x:c r="F35" s="98"/>
      <x:c r="G35" s="98"/>
      <x:c r="H35" s="98"/>
      <x:c r="I35" s="98"/>
      <x:c r="J35" s="98"/>
    </x:row>
    <x:row r="36">
      <x:c r="A36" s="98"/>
      <x:c r="B36" s="98"/>
      <x:c r="C36" s="98"/>
      <x:c r="D36" s="98"/>
      <x:c r="E36" s="98"/>
      <x:c r="F36" s="98"/>
      <x:c r="G36" s="98"/>
      <x:c r="H36" s="98"/>
      <x:c r="I36" s="98"/>
      <x:c r="J36" s="98"/>
    </x:row>
    <x:row r="37">
      <x:c r="A37" s="98"/>
      <x:c r="B37" s="98"/>
      <x:c r="C37" s="98"/>
      <x:c r="D37" s="98"/>
      <x:c r="E37" s="98"/>
      <x:c r="F37" s="98"/>
      <x:c r="G37" s="98"/>
      <x:c r="H37" s="98"/>
      <x:c r="I37" s="98"/>
      <x:c r="J37" s="98"/>
    </x:row>
    <x:row r="38">
      <x:c r="A38" s="98"/>
      <x:c r="B38" s="98"/>
      <x:c r="C38" s="98"/>
      <x:c r="D38" s="98"/>
      <x:c r="E38" s="98"/>
      <x:c r="F38" s="98"/>
      <x:c r="G38" s="98"/>
      <x:c r="H38" s="98"/>
      <x:c r="I38" s="98"/>
      <x:c r="J38" s="98"/>
    </x:row>
    <x:row r="39">
      <x:c r="A39" s="98"/>
      <x:c r="B39" s="98"/>
      <x:c r="C39" s="98"/>
      <x:c r="D39" s="98"/>
      <x:c r="E39" s="98"/>
      <x:c r="F39" s="98"/>
      <x:c r="G39" s="98"/>
      <x:c r="H39" s="98"/>
      <x:c r="I39" s="98"/>
      <x:c r="J39" s="98"/>
    </x:row>
    <x:row r="40">
      <x:c r="A40" s="98"/>
      <x:c r="B40" s="98"/>
      <x:c r="C40" s="98"/>
      <x:c r="D40" s="98"/>
      <x:c r="E40" s="98"/>
      <x:c r="F40" s="98"/>
      <x:c r="G40" s="98"/>
      <x:c r="H40" s="98"/>
      <x:c r="I40" s="98"/>
      <x:c r="J40" s="98"/>
    </x:row>
    <x:row r="41">
      <x:c r="A41" s="98"/>
      <x:c r="B41" s="98"/>
      <x:c r="C41" s="98"/>
      <x:c r="D41" s="98"/>
      <x:c r="E41" s="98"/>
      <x:c r="F41" s="98"/>
      <x:c r="G41" s="98"/>
      <x:c r="H41" s="98"/>
      <x:c r="I41" s="98"/>
      <x:c r="J41" s="98"/>
    </x:row>
    <x:row r="42">
      <x:c r="A42" s="98"/>
      <x:c r="B42" s="98"/>
      <x:c r="C42" s="98"/>
      <x:c r="D42" s="98"/>
      <x:c r="E42" s="98"/>
      <x:c r="F42" s="98"/>
      <x:c r="G42" s="98"/>
      <x:c r="H42" s="98"/>
      <x:c r="I42" s="98"/>
      <x:c r="J42" s="98"/>
    </x:row>
    <x:row r="43">
      <x:c r="A43" s="98"/>
      <x:c r="B43" s="98"/>
      <x:c r="C43" s="98"/>
      <x:c r="D43" s="98"/>
      <x:c r="E43" s="98"/>
      <x:c r="F43" s="98"/>
      <x:c r="G43" s="98"/>
      <x:c r="H43" s="98"/>
      <x:c r="I43" s="98"/>
      <x:c r="J43" s="98"/>
    </x:row>
    <x:row r="44">
      <x:c r="A44" s="98"/>
      <x:c r="B44" s="98"/>
      <x:c r="C44" s="98"/>
      <x:c r="D44" s="98"/>
      <x:c r="E44" s="98"/>
      <x:c r="F44" s="98"/>
      <x:c r="G44" s="98"/>
      <x:c r="H44" s="98"/>
      <x:c r="I44" s="98"/>
      <x:c r="J44" s="98"/>
    </x:row>
    <x:row r="45">
      <x:c r="A45" s="98"/>
      <x:c r="B45" s="98"/>
      <x:c r="C45" s="98"/>
      <x:c r="D45" s="98"/>
      <x:c r="E45" s="98"/>
      <x:c r="F45" s="98"/>
      <x:c r="G45" s="98"/>
      <x:c r="H45" s="98"/>
      <x:c r="I45" s="98"/>
      <x:c r="J45" s="98"/>
    </x:row>
    <x:row r="46">
      <x:c r="A46" s="98"/>
      <x:c r="B46" s="98"/>
      <x:c r="C46" s="98"/>
      <x:c r="D46" s="98"/>
      <x:c r="E46" s="98"/>
      <x:c r="F46" s="98"/>
      <x:c r="G46" s="98"/>
      <x:c r="H46" s="98"/>
      <x:c r="I46" s="98"/>
      <x:c r="J46" s="98"/>
    </x:row>
    <x:row r="47">
      <x:c r="A47" s="98"/>
      <x:c r="B47" s="98"/>
      <x:c r="C47" s="98"/>
      <x:c r="D47" s="98"/>
      <x:c r="E47" s="98"/>
      <x:c r="F47" s="98"/>
      <x:c r="G47" s="98"/>
      <x:c r="H47" s="98"/>
      <x:c r="I47" s="98"/>
      <x:c r="J47" s="98"/>
    </x:row>
    <x:row r="48">
      <x:c r="A48" s="98"/>
      <x:c r="B48" s="98"/>
      <x:c r="C48" s="98"/>
      <x:c r="D48" s="98"/>
      <x:c r="E48" s="98"/>
      <x:c r="F48" s="98"/>
      <x:c r="G48" s="98"/>
      <x:c r="H48" s="98"/>
      <x:c r="I48" s="98"/>
      <x:c r="J48" s="98"/>
    </x:row>
    <x:row r="49">
      <x:c r="A49" s="98"/>
      <x:c r="B49" s="98"/>
      <x:c r="C49" s="98"/>
      <x:c r="D49" s="98"/>
      <x:c r="E49" s="98"/>
      <x:c r="F49" s="98"/>
      <x:c r="G49" s="98"/>
      <x:c r="H49" s="98"/>
      <x:c r="I49" s="98"/>
      <x:c r="J49" s="98"/>
    </x:row>
    <x:row r="50">
      <x:c r="A50" s="98"/>
      <x:c r="B50" s="98"/>
      <x:c r="C50" s="98"/>
      <x:c r="D50" s="98"/>
      <x:c r="E50" s="98"/>
      <x:c r="F50" s="98"/>
      <x:c r="G50" s="98"/>
      <x:c r="H50" s="98"/>
      <x:c r="I50" s="98"/>
      <x:c r="J50" s="98"/>
    </x:row>
    <x:row r="51">
      <x:c r="A51" s="98"/>
      <x:c r="B51" s="98"/>
      <x:c r="C51" s="98"/>
      <x:c r="D51" s="98"/>
      <x:c r="E51" s="98"/>
      <x:c r="F51" s="98"/>
      <x:c r="G51" s="98"/>
      <x:c r="H51" s="98"/>
      <x:c r="I51" s="98"/>
      <x:c r="J51" s="98"/>
    </x:row>
    <x:row r="52">
      <x:c r="A52" s="98"/>
      <x:c r="B52" s="98"/>
      <x:c r="C52" s="98"/>
      <x:c r="D52" s="98"/>
      <x:c r="E52" s="98"/>
      <x:c r="F52" s="98"/>
      <x:c r="G52" s="98"/>
      <x:c r="H52" s="98"/>
      <x:c r="I52" s="98"/>
      <x:c r="J52" s="98"/>
    </x:row>
    <x:row r="53">
      <x:c r="A53" s="98"/>
      <x:c r="B53" s="98"/>
      <x:c r="C53" s="98"/>
      <x:c r="D53" s="98"/>
      <x:c r="E53" s="98"/>
      <x:c r="F53" s="98"/>
      <x:c r="G53" s="98"/>
      <x:c r="H53" s="98"/>
      <x:c r="I53" s="98"/>
      <x:c r="J53" s="98"/>
    </x:row>
    <x:row r="54">
      <x:c r="A54" s="98"/>
      <x:c r="B54" s="98"/>
      <x:c r="C54" s="98"/>
      <x:c r="D54" s="98"/>
      <x:c r="E54" s="98"/>
      <x:c r="F54" s="98"/>
      <x:c r="G54" s="98"/>
      <x:c r="H54" s="98"/>
      <x:c r="I54" s="98"/>
      <x:c r="J54" s="98"/>
    </x:row>
    <x:row r="55">
      <x:c r="A55" s="98"/>
      <x:c r="B55" s="98"/>
      <x:c r="C55" s="98"/>
      <x:c r="D55" s="98"/>
      <x:c r="E55" s="98"/>
      <x:c r="F55" s="98"/>
      <x:c r="G55" s="98"/>
      <x:c r="H55" s="98"/>
      <x:c r="I55" s="98"/>
      <x:c r="J55" s="98"/>
    </x:row>
    <x:row r="56">
      <x:c r="A56" s="98"/>
      <x:c r="B56" s="98"/>
      <x:c r="C56" s="98"/>
      <x:c r="D56" s="98"/>
      <x:c r="E56" s="98"/>
      <x:c r="F56" s="98"/>
      <x:c r="G56" s="98"/>
      <x:c r="H56" s="98"/>
      <x:c r="I56" s="98"/>
      <x:c r="J56" s="98"/>
    </x:row>
    <x:row r="57">
      <x:c r="A57" s="98"/>
      <x:c r="B57" s="98"/>
      <x:c r="C57" s="98"/>
      <x:c r="D57" s="98"/>
      <x:c r="E57" s="98"/>
      <x:c r="F57" s="98"/>
      <x:c r="G57" s="98"/>
      <x:c r="H57" s="98"/>
      <x:c r="I57" s="98"/>
      <x:c r="J57" s="98"/>
    </x:row>
    <x:row r="58">
      <x:c r="A58" s="98"/>
      <x:c r="B58" s="98"/>
      <x:c r="C58" s="98"/>
      <x:c r="D58" s="98"/>
      <x:c r="E58" s="98"/>
      <x:c r="F58" s="98"/>
      <x:c r="G58" s="98"/>
      <x:c r="H58" s="98"/>
      <x:c r="I58" s="98"/>
      <x:c r="J58" s="98"/>
    </x:row>
    <x:row r="59">
      <x:c r="A59" s="98"/>
      <x:c r="B59" s="98"/>
      <x:c r="C59" s="98"/>
      <x:c r="D59" s="98"/>
      <x:c r="E59" s="98"/>
      <x:c r="F59" s="98"/>
      <x:c r="G59" s="98"/>
      <x:c r="H59" s="98"/>
      <x:c r="I59" s="98"/>
      <x:c r="J59" s="98"/>
    </x:row>
    <x:row r="60">
      <x:c r="A60" s="98"/>
      <x:c r="B60" s="98"/>
      <x:c r="C60" s="98"/>
      <x:c r="D60" s="98"/>
      <x:c r="E60" s="98"/>
      <x:c r="F60" s="98"/>
      <x:c r="G60" s="98"/>
      <x:c r="H60" s="98"/>
      <x:c r="I60" s="98"/>
      <x:c r="J60" s="98"/>
    </x:row>
    <x:row r="61">
      <x:c r="A61" s="98"/>
      <x:c r="B61" s="98"/>
      <x:c r="C61" s="98"/>
      <x:c r="D61" s="98"/>
      <x:c r="E61" s="98"/>
      <x:c r="F61" s="98"/>
      <x:c r="G61" s="98"/>
      <x:c r="H61" s="98"/>
      <x:c r="I61" s="98"/>
      <x:c r="J61" s="98"/>
    </x:row>
    <x:row r="62">
      <x:c r="A62" s="98"/>
      <x:c r="B62" s="98"/>
      <x:c r="C62" s="98"/>
      <x:c r="D62" s="98"/>
      <x:c r="E62" s="98"/>
      <x:c r="F62" s="98"/>
      <x:c r="G62" s="98"/>
      <x:c r="H62" s="98"/>
      <x:c r="I62" s="98"/>
      <x:c r="J62" s="98"/>
    </x:row>
    <x:row r="63">
      <x:c r="A63" s="98"/>
      <x:c r="B63" s="98"/>
      <x:c r="C63" s="98"/>
      <x:c r="D63" s="98"/>
      <x:c r="E63" s="98"/>
      <x:c r="F63" s="98"/>
      <x:c r="G63" s="98"/>
      <x:c r="H63" s="98"/>
      <x:c r="I63" s="98"/>
      <x:c r="J63" s="98"/>
    </x:row>
    <x:row r="64">
      <x:c r="A64" s="98"/>
      <x:c r="B64" s="98"/>
      <x:c r="C64" s="98"/>
      <x:c r="D64" s="98"/>
      <x:c r="E64" s="98"/>
      <x:c r="F64" s="98"/>
      <x:c r="G64" s="98"/>
      <x:c r="H64" s="98"/>
      <x:c r="I64" s="98"/>
      <x:c r="J64" s="98"/>
    </x:row>
    <x:row r="65">
      <x:c r="A65" s="98"/>
      <x:c r="B65" s="98"/>
      <x:c r="C65" s="98"/>
      <x:c r="D65" s="98"/>
      <x:c r="E65" s="98"/>
      <x:c r="F65" s="98"/>
      <x:c r="G65" s="98"/>
      <x:c r="H65" s="98"/>
      <x:c r="I65" s="98"/>
      <x:c r="J65" s="98"/>
    </x:row>
    <x:row r="66">
      <x:c r="A66" s="98"/>
      <x:c r="B66" s="98"/>
      <x:c r="C66" s="98"/>
      <x:c r="D66" s="98"/>
      <x:c r="E66" s="98"/>
      <x:c r="F66" s="98"/>
      <x:c r="G66" s="98"/>
      <x:c r="H66" s="98"/>
      <x:c r="I66" s="98"/>
      <x:c r="J66" s="98"/>
    </x:row>
    <x:row r="67">
      <x:c r="A67" s="98"/>
      <x:c r="B67" s="98"/>
      <x:c r="C67" s="98"/>
      <x:c r="D67" s="98"/>
      <x:c r="E67" s="98"/>
      <x:c r="F67" s="98"/>
      <x:c r="G67" s="98"/>
      <x:c r="H67" s="98"/>
      <x:c r="I67" s="98"/>
      <x:c r="J67" s="98"/>
    </x:row>
    <x:row r="68">
      <x:c r="A68" s="98"/>
      <x:c r="B68" s="98"/>
      <x:c r="C68" s="98"/>
      <x:c r="D68" s="98"/>
      <x:c r="E68" s="98"/>
      <x:c r="F68" s="98"/>
      <x:c r="G68" s="98"/>
      <x:c r="H68" s="98"/>
      <x:c r="I68" s="98"/>
      <x:c r="J68" s="98"/>
    </x:row>
    <x:row r="69">
      <x:c r="A69" s="98"/>
      <x:c r="B69" s="98"/>
      <x:c r="C69" s="98"/>
      <x:c r="D69" s="98"/>
      <x:c r="E69" s="98"/>
      <x:c r="F69" s="98"/>
      <x:c r="G69" s="98"/>
      <x:c r="H69" s="98"/>
      <x:c r="I69" s="98"/>
      <x:c r="J69" s="98"/>
    </x:row>
    <x:row r="70">
      <x:c r="A70" s="98"/>
      <x:c r="B70" s="98"/>
      <x:c r="C70" s="98"/>
      <x:c r="D70" s="98"/>
      <x:c r="E70" s="98"/>
      <x:c r="F70" s="98"/>
      <x:c r="G70" s="98"/>
      <x:c r="H70" s="98"/>
      <x:c r="I70" s="98"/>
      <x:c r="J70" s="98"/>
    </x:row>
    <x:row r="71">
      <x:c r="A71" s="98"/>
      <x:c r="B71" s="98"/>
      <x:c r="C71" s="98"/>
      <x:c r="D71" s="98"/>
      <x:c r="E71" s="98"/>
      <x:c r="F71" s="98"/>
      <x:c r="G71" s="98"/>
      <x:c r="H71" s="98"/>
      <x:c r="I71" s="98"/>
      <x:c r="J71" s="98"/>
    </x:row>
    <x:row r="72">
      <x:c r="A72" s="98"/>
      <x:c r="B72" s="98"/>
      <x:c r="C72" s="98"/>
      <x:c r="D72" s="98"/>
      <x:c r="E72" s="98"/>
      <x:c r="F72" s="98"/>
      <x:c r="G72" s="98"/>
      <x:c r="H72" s="98"/>
      <x:c r="I72" s="98"/>
      <x:c r="J72" s="98"/>
    </x:row>
    <x:row r="73">
      <x:c r="A73" s="98"/>
      <x:c r="B73" s="98"/>
      <x:c r="C73" s="98"/>
      <x:c r="D73" s="98"/>
      <x:c r="E73" s="98"/>
      <x:c r="F73" s="98"/>
      <x:c r="G73" s="98"/>
      <x:c r="H73" s="98"/>
      <x:c r="I73" s="98"/>
      <x:c r="J73" s="98"/>
    </x:row>
    <x:row r="74">
      <x:c r="A74" s="98"/>
      <x:c r="B74" s="98"/>
      <x:c r="C74" s="98"/>
      <x:c r="D74" s="98"/>
      <x:c r="E74" s="98"/>
      <x:c r="F74" s="98"/>
      <x:c r="G74" s="98"/>
      <x:c r="H74" s="98"/>
      <x:c r="I74" s="98"/>
      <x:c r="J74" s="98"/>
    </x:row>
    <x:row r="75">
      <x:c r="A75" s="98"/>
      <x:c r="B75" s="98"/>
      <x:c r="C75" s="98"/>
      <x:c r="D75" s="98"/>
      <x:c r="E75" s="98"/>
      <x:c r="F75" s="98"/>
      <x:c r="G75" s="98"/>
      <x:c r="H75" s="98"/>
      <x:c r="I75" s="98"/>
      <x:c r="J75" s="98"/>
    </x:row>
    <x:row r="76">
      <x:c r="A76" s="98"/>
      <x:c r="B76" s="98"/>
      <x:c r="C76" s="98"/>
      <x:c r="D76" s="98"/>
      <x:c r="E76" s="98"/>
      <x:c r="F76" s="98"/>
      <x:c r="G76" s="98"/>
      <x:c r="H76" s="98"/>
      <x:c r="I76" s="98"/>
      <x:c r="J76" s="98"/>
    </x:row>
    <x:row r="77">
      <x:c r="A77" s="98"/>
      <x:c r="B77" s="98"/>
      <x:c r="C77" s="98"/>
      <x:c r="D77" s="98"/>
      <x:c r="E77" s="98"/>
      <x:c r="F77" s="98"/>
      <x:c r="G77" s="98"/>
      <x:c r="H77" s="98"/>
      <x:c r="I77" s="98"/>
      <x:c r="J77" s="98"/>
    </x:row>
    <x:row r="78">
      <x:c r="A78" s="98"/>
      <x:c r="B78" s="98"/>
      <x:c r="C78" s="98"/>
      <x:c r="D78" s="98"/>
      <x:c r="E78" s="98"/>
      <x:c r="F78" s="98"/>
      <x:c r="G78" s="98"/>
      <x:c r="H78" s="98"/>
      <x:c r="I78" s="98"/>
      <x:c r="J78" s="98"/>
    </x:row>
    <x:row r="79">
      <x:c r="A79" s="98"/>
      <x:c r="B79" s="98"/>
      <x:c r="C79" s="98"/>
      <x:c r="D79" s="98"/>
      <x:c r="E79" s="98"/>
      <x:c r="F79" s="98"/>
      <x:c r="G79" s="98"/>
      <x:c r="H79" s="98"/>
      <x:c r="I79" s="98"/>
      <x:c r="J79" s="98"/>
    </x:row>
    <x:row r="80">
      <x:c r="A80" s="98"/>
      <x:c r="B80" s="98"/>
      <x:c r="C80" s="98"/>
      <x:c r="D80" s="98"/>
      <x:c r="E80" s="98"/>
      <x:c r="F80" s="98"/>
      <x:c r="G80" s="98"/>
      <x:c r="H80" s="98"/>
      <x:c r="I80" s="98"/>
      <x:c r="J80" s="98"/>
    </x:row>
    <x:row r="81">
      <x:c r="A81" s="98"/>
      <x:c r="B81" s="98"/>
      <x:c r="C81" s="98"/>
      <x:c r="D81" s="98"/>
      <x:c r="E81" s="98"/>
      <x:c r="F81" s="98"/>
      <x:c r="G81" s="98"/>
      <x:c r="H81" s="98"/>
      <x:c r="I81" s="98"/>
      <x:c r="J81" s="98"/>
    </x:row>
    <x:row r="82">
      <x:c r="A82" s="98"/>
      <x:c r="B82" s="98"/>
      <x:c r="C82" s="98"/>
      <x:c r="D82" s="98"/>
      <x:c r="E82" s="98"/>
      <x:c r="F82" s="98"/>
      <x:c r="G82" s="98"/>
      <x:c r="H82" s="98"/>
      <x:c r="I82" s="98"/>
      <x:c r="J82" s="98"/>
    </x:row>
    <x:row r="83">
      <x:c r="A83" s="98"/>
      <x:c r="B83" s="98"/>
      <x:c r="C83" s="98"/>
      <x:c r="D83" s="98"/>
      <x:c r="E83" s="98"/>
      <x:c r="F83" s="98"/>
      <x:c r="G83" s="98"/>
      <x:c r="H83" s="98"/>
      <x:c r="I83" s="98"/>
      <x:c r="J83" s="98"/>
    </x:row>
    <x:row r="84">
      <x:c r="A84" s="98"/>
      <x:c r="B84" s="98"/>
      <x:c r="C84" s="98"/>
      <x:c r="D84" s="98"/>
      <x:c r="E84" s="98"/>
      <x:c r="F84" s="98"/>
      <x:c r="G84" s="98"/>
      <x:c r="H84" s="98"/>
      <x:c r="I84" s="98"/>
      <x:c r="J84" s="98"/>
    </x:row>
    <x:row r="85">
      <x:c r="A85" s="98"/>
      <x:c r="B85" s="98"/>
      <x:c r="C85" s="98"/>
      <x:c r="D85" s="98"/>
      <x:c r="E85" s="98"/>
      <x:c r="F85" s="98"/>
      <x:c r="G85" s="98"/>
      <x:c r="H85" s="98"/>
      <x:c r="I85" s="98"/>
      <x:c r="J85" s="98"/>
    </x:row>
    <x:row r="86">
      <x:c r="A86" s="98"/>
      <x:c r="B86" s="98"/>
      <x:c r="C86" s="98"/>
      <x:c r="D86" s="98"/>
      <x:c r="E86" s="98"/>
      <x:c r="F86" s="98"/>
      <x:c r="G86" s="98"/>
      <x:c r="H86" s="98"/>
      <x:c r="I86" s="98"/>
      <x:c r="J86" s="98"/>
    </x:row>
    <x:row r="87">
      <x:c r="A87" s="98"/>
      <x:c r="B87" s="98"/>
      <x:c r="C87" s="98"/>
      <x:c r="D87" s="98"/>
      <x:c r="E87" s="98"/>
      <x:c r="F87" s="98"/>
      <x:c r="G87" s="98"/>
      <x:c r="H87" s="98"/>
      <x:c r="I87" s="98"/>
      <x:c r="J87" s="98"/>
    </x:row>
    <x:row r="88">
      <x:c r="A88" s="98"/>
      <x:c r="B88" s="98"/>
      <x:c r="C88" s="98"/>
      <x:c r="D88" s="98"/>
      <x:c r="E88" s="98"/>
      <x:c r="F88" s="98"/>
      <x:c r="G88" s="98"/>
      <x:c r="H88" s="98"/>
      <x:c r="I88" s="98"/>
      <x:c r="J88" s="98"/>
    </x:row>
    <x:row r="89">
      <x:c r="A89" s="98"/>
      <x:c r="B89" s="98"/>
      <x:c r="C89" s="98"/>
      <x:c r="D89" s="98"/>
      <x:c r="E89" s="98"/>
      <x:c r="F89" s="98"/>
      <x:c r="G89" s="98"/>
      <x:c r="H89" s="98"/>
      <x:c r="I89" s="98"/>
      <x:c r="J89" s="98"/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</x:row>
  </x:sheetData>
  <x:mergeCells>
    <x:mergeCell ref="A1:J1"/>
  </x:mergeCells>
  <x:dataValidations count="1">
    <x:dataValidation type="list" sqref="I4:I200">
      <x:formula1>"hoch,mittel,niedrig"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36" hidden="0" customWidth="1"/>
    <x:col min="4" max="4" width="20" hidden="0" customWidth="1"/>
    <x:col min="5" max="5" width="18" hidden="0" customWidth="1"/>
    <x:col min="6" max="6" width="10" hidden="0" customWidth="1"/>
    <x:col min="7" max="7" width="24" hidden="0" customWidth="1"/>
    <x:col min="8" max="8" width="16" hidden="0" customWidth="1"/>
    <x:col min="9" max="9" width="12" hidden="0" customWidth="1"/>
    <x:col min="10" max="10" width="12" hidden="0" customWidth="1"/>
  </x:cols>
  <x:sheetData>
    <x:row r="1" ht="26" customHeight="1">
      <x:c r="A1" s="4" t="str">
        <x:v>Szenarien – Bestand und Planungsvarianten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8" customHeight="1">
      <x:c r="A3" s="26" t="str">
        <x:v>szenario_id</x:v>
      </x:c>
      <x:c r="B3" s="26" t="str">
        <x:v>szenario</x:v>
      </x:c>
      <x:c r="C3" s="26" t="str">
        <x:v>beschreibung</x:v>
      </x:c>
      <x:c r="D3" s="26" t="str">
        <x:v>komponenten_typ</x:v>
      </x:c>
      <x:c r="E3" s="26" t="str">
        <x:v>komponenten_id</x:v>
      </x:c>
      <x:c r="F3" s="26" t="str">
        <x:v>aktiv</x:v>
      </x:c>
      <x:c r="G3" s="26" t="str">
        <x:v>parameter_override</x:v>
      </x:c>
      <x:c r="H3" s="26" t="str">
        <x:v>override_wert</x:v>
      </x:c>
      <x:c r="I3" s="26" t="str">
        <x:v>einheit</x:v>
      </x:c>
      <x:c r="J3" s="26" t="str">
        <x:v>startjahr</x:v>
      </x:c>
    </x:row>
    <x:row r="4">
      <x:c r="A4" s="32" t="str">
        <x:v>S00</x:v>
      </x:c>
      <x:c r="B4" s="32" t="str">
        <x:v>Bestand</x:v>
      </x:c>
      <x:c r="C4" s="32" t="str">
        <x:v>Aktueller Zustand</x:v>
      </x:c>
      <x:c r="D4" s="32" t="str">
        <x:v>Verbraucher</x:v>
      </x:c>
      <x:c r="E4" s="32" t="str">
        <x:v>V_GAS_001</x:v>
      </x:c>
      <x:c r="F4" s="96" t="b">
        <x:v>1</x:v>
      </x:c>
      <x:c r="G4" s="32" t="str"/>
      <x:c r="H4" s="32"/>
      <x:c r="I4" s="32" t="str"/>
      <x:c r="J4" s="32" t="n">
        <x:v>2025</x:v>
      </x:c>
    </x:row>
    <x:row r="5">
      <x:c r="A5" s="32" t="str">
        <x:v>S00</x:v>
      </x:c>
      <x:c r="B5" s="32" t="str">
        <x:v>Bestand</x:v>
      </x:c>
      <x:c r="C5" s="32" t="str">
        <x:v>Aktueller Zustand</x:v>
      </x:c>
      <x:c r="D5" s="32" t="str">
        <x:v>Erzeuger</x:v>
      </x:c>
      <x:c r="E5" s="32" t="str">
        <x:v>E_PV_01</x:v>
      </x:c>
      <x:c r="F5" s="96" t="b">
        <x:v>1</x:v>
      </x:c>
      <x:c r="G5" s="32" t="str"/>
      <x:c r="H5" s="32"/>
      <x:c r="I5" s="32" t="str"/>
      <x:c r="J5" s="32" t="n">
        <x:v>2025</x:v>
      </x:c>
    </x:row>
    <x:row r="6">
      <x:c r="A6" s="32" t="str">
        <x:v>S01</x:v>
      </x:c>
      <x:c r="B6" s="32" t="str">
        <x:v>LED</x:v>
      </x:c>
      <x:c r="C6" s="32" t="str">
        <x:v>Allgemeinbeleuchtung modernisiert</x:v>
      </x:c>
      <x:c r="D6" s="32" t="str">
        <x:v>Verbraucher</x:v>
      </x:c>
      <x:c r="E6" s="32" t="str">
        <x:v>V_ALL_001</x:v>
      </x:c>
      <x:c r="F6" s="96" t="b">
        <x:v>1</x:v>
      </x:c>
      <x:c r="G6" s="32" t="str">
        <x:v>leistung_kw</x:v>
      </x:c>
      <x:c r="H6" s="32" t="n">
        <x:v>2</x:v>
      </x:c>
      <x:c r="I6" s="32" t="str">
        <x:v>kW</x:v>
      </x:c>
      <x:c r="J6" s="32" t="n">
        <x:v>2026</x:v>
      </x:c>
    </x:row>
    <x:row r="7">
      <x:c r="A7" s="32" t="str">
        <x:v>S02</x:v>
      </x:c>
      <x:c r="B7" s="32" t="str">
        <x:v>PV Ausbau</x:v>
      </x:c>
      <x:c r="C7" s="32" t="str">
        <x:v>Zusätzliche PV</x:v>
      </x:c>
      <x:c r="D7" s="32" t="str">
        <x:v>Erzeuger</x:v>
      </x:c>
      <x:c r="E7" s="32" t="str">
        <x:v>E_PV_02</x:v>
      </x:c>
      <x:c r="F7" s="96" t="b">
        <x:v>1</x:v>
      </x:c>
      <x:c r="G7" s="32" t="str">
        <x:v>leistung_kw</x:v>
      </x:c>
      <x:c r="H7" s="32" t="n">
        <x:v>50</x:v>
      </x:c>
      <x:c r="I7" s="32" t="str">
        <x:v>kW</x:v>
      </x:c>
      <x:c r="J7" s="32" t="n">
        <x:v>2027</x:v>
      </x:c>
    </x:row>
    <x:row r="8">
      <x:c r="A8" s="98"/>
      <x:c r="B8" s="98"/>
      <x:c r="C8" s="98"/>
      <x:c r="D8" s="98"/>
      <x:c r="E8" s="98"/>
      <x:c r="F8" s="98"/>
      <x:c r="G8" s="98"/>
      <x:c r="H8" s="98"/>
      <x:c r="I8" s="98"/>
      <x:c r="J8" s="98"/>
    </x:row>
    <x:row r="9">
      <x:c r="A9" s="98"/>
      <x:c r="B9" s="98"/>
      <x:c r="C9" s="98"/>
      <x:c r="D9" s="98"/>
      <x:c r="E9" s="98"/>
      <x:c r="F9" s="98"/>
      <x:c r="G9" s="98"/>
      <x:c r="H9" s="98"/>
      <x:c r="I9" s="98"/>
      <x:c r="J9" s="98"/>
    </x:row>
    <x:row r="10">
      <x:c r="A10" s="98"/>
      <x:c r="B10" s="98"/>
      <x:c r="C10" s="98"/>
      <x:c r="D10" s="98"/>
      <x:c r="E10" s="98"/>
      <x:c r="F10" s="98"/>
      <x:c r="G10" s="98"/>
      <x:c r="H10" s="98"/>
      <x:c r="I10" s="98"/>
      <x:c r="J10" s="98"/>
    </x:row>
    <x:row r="11">
      <x:c r="A11" s="98"/>
      <x:c r="B11" s="98"/>
      <x:c r="C11" s="98"/>
      <x:c r="D11" s="98"/>
      <x:c r="E11" s="98"/>
      <x:c r="F11" s="98"/>
      <x:c r="G11" s="98"/>
      <x:c r="H11" s="98"/>
      <x:c r="I11" s="98"/>
      <x:c r="J11" s="98"/>
    </x:row>
    <x:row r="12">
      <x:c r="A12" s="98"/>
      <x:c r="B12" s="98"/>
      <x:c r="C12" s="98"/>
      <x:c r="D12" s="98"/>
      <x:c r="E12" s="98"/>
      <x:c r="F12" s="98"/>
      <x:c r="G12" s="98"/>
      <x:c r="H12" s="98"/>
      <x:c r="I12" s="98"/>
      <x:c r="J12" s="98"/>
    </x:row>
    <x:row r="13">
      <x:c r="A13" s="98"/>
      <x:c r="B13" s="98"/>
      <x:c r="C13" s="98"/>
      <x:c r="D13" s="98"/>
      <x:c r="E13" s="98"/>
      <x:c r="F13" s="98"/>
      <x:c r="G13" s="98"/>
      <x:c r="H13" s="98"/>
      <x:c r="I13" s="98"/>
      <x:c r="J13" s="98"/>
    </x:row>
    <x:row r="14">
      <x:c r="A14" s="98"/>
      <x:c r="B14" s="98"/>
      <x:c r="C14" s="98"/>
      <x:c r="D14" s="98"/>
      <x:c r="E14" s="98"/>
      <x:c r="F14" s="98"/>
      <x:c r="G14" s="98"/>
      <x:c r="H14" s="98"/>
      <x:c r="I14" s="98"/>
      <x:c r="J14" s="98"/>
    </x:row>
    <x:row r="15">
      <x:c r="A15" s="98"/>
      <x:c r="B15" s="98"/>
      <x:c r="C15" s="98"/>
      <x:c r="D15" s="98"/>
      <x:c r="E15" s="98"/>
      <x:c r="F15" s="98"/>
      <x:c r="G15" s="98"/>
      <x:c r="H15" s="98"/>
      <x:c r="I15" s="98"/>
      <x:c r="J15" s="98"/>
    </x:row>
    <x:row r="16">
      <x:c r="A16" s="98"/>
      <x:c r="B16" s="98"/>
      <x:c r="C16" s="98"/>
      <x:c r="D16" s="98"/>
      <x:c r="E16" s="98"/>
      <x:c r="F16" s="98"/>
      <x:c r="G16" s="98"/>
      <x:c r="H16" s="98"/>
      <x:c r="I16" s="98"/>
      <x:c r="J16" s="98"/>
    </x:row>
    <x:row r="17">
      <x:c r="A17" s="98"/>
      <x:c r="B17" s="98"/>
      <x:c r="C17" s="98"/>
      <x:c r="D17" s="98"/>
      <x:c r="E17" s="98"/>
      <x:c r="F17" s="98"/>
      <x:c r="G17" s="98"/>
      <x:c r="H17" s="98"/>
      <x:c r="I17" s="98"/>
      <x:c r="J17" s="98"/>
    </x:row>
    <x:row r="18">
      <x:c r="A18" s="98"/>
      <x:c r="B18" s="98"/>
      <x:c r="C18" s="98"/>
      <x:c r="D18" s="98"/>
      <x:c r="E18" s="98"/>
      <x:c r="F18" s="98"/>
      <x:c r="G18" s="98"/>
      <x:c r="H18" s="98"/>
      <x:c r="I18" s="98"/>
      <x:c r="J18" s="98"/>
    </x:row>
    <x:row r="19">
      <x:c r="A19" s="98"/>
      <x:c r="B19" s="98"/>
      <x:c r="C19" s="98"/>
      <x:c r="D19" s="98"/>
      <x:c r="E19" s="98"/>
      <x:c r="F19" s="98"/>
      <x:c r="G19" s="98"/>
      <x:c r="H19" s="98"/>
      <x:c r="I19" s="98"/>
      <x:c r="J19" s="98"/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</x:row>
    <x:row r="22">
      <x:c r="A22" s="98"/>
      <x:c r="B22" s="98"/>
      <x:c r="C22" s="98"/>
      <x:c r="D22" s="98"/>
      <x:c r="E22" s="98"/>
      <x:c r="F22" s="98"/>
      <x:c r="G22" s="98"/>
      <x:c r="H22" s="98"/>
      <x:c r="I22" s="98"/>
      <x:c r="J22" s="98"/>
    </x:row>
    <x:row r="23">
      <x:c r="A23" s="98"/>
      <x:c r="B23" s="98"/>
      <x:c r="C23" s="98"/>
      <x:c r="D23" s="98"/>
      <x:c r="E23" s="98"/>
      <x:c r="F23" s="98"/>
      <x:c r="G23" s="98"/>
      <x:c r="H23" s="98"/>
      <x:c r="I23" s="98"/>
      <x:c r="J23" s="98"/>
    </x:row>
    <x:row r="24">
      <x:c r="A24" s="98"/>
      <x:c r="B24" s="98"/>
      <x:c r="C24" s="98"/>
      <x:c r="D24" s="98"/>
      <x:c r="E24" s="98"/>
      <x:c r="F24" s="98"/>
      <x:c r="G24" s="98"/>
      <x:c r="H24" s="98"/>
      <x:c r="I24" s="98"/>
      <x:c r="J24" s="98"/>
    </x:row>
    <x:row r="25">
      <x:c r="A25" s="98"/>
      <x:c r="B25" s="98"/>
      <x:c r="C25" s="98"/>
      <x:c r="D25" s="98"/>
      <x:c r="E25" s="98"/>
      <x:c r="F25" s="98"/>
      <x:c r="G25" s="98"/>
      <x:c r="H25" s="98"/>
      <x:c r="I25" s="98"/>
      <x:c r="J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</x:row>
    <x:row r="31">
      <x:c r="A31" s="98"/>
      <x:c r="B31" s="98"/>
      <x:c r="C31" s="98"/>
      <x:c r="D31" s="98"/>
      <x:c r="E31" s="98"/>
      <x:c r="F31" s="98"/>
      <x:c r="G31" s="98"/>
      <x:c r="H31" s="98"/>
      <x:c r="I31" s="98"/>
      <x:c r="J31" s="98"/>
    </x:row>
    <x:row r="32">
      <x:c r="A32" s="98"/>
      <x:c r="B32" s="98"/>
      <x:c r="C32" s="98"/>
      <x:c r="D32" s="98"/>
      <x:c r="E32" s="98"/>
      <x:c r="F32" s="98"/>
      <x:c r="G32" s="98"/>
      <x:c r="H32" s="98"/>
      <x:c r="I32" s="98"/>
      <x:c r="J32" s="98"/>
    </x:row>
    <x:row r="33">
      <x:c r="A33" s="98"/>
      <x:c r="B33" s="98"/>
      <x:c r="C33" s="98"/>
      <x:c r="D33" s="98"/>
      <x:c r="E33" s="98"/>
      <x:c r="F33" s="98"/>
      <x:c r="G33" s="98"/>
      <x:c r="H33" s="98"/>
      <x:c r="I33" s="98"/>
      <x:c r="J33" s="98"/>
    </x:row>
    <x:row r="34">
      <x:c r="A34" s="98"/>
      <x:c r="B34" s="98"/>
      <x:c r="C34" s="98"/>
      <x:c r="D34" s="98"/>
      <x:c r="E34" s="98"/>
      <x:c r="F34" s="98"/>
      <x:c r="G34" s="98"/>
      <x:c r="H34" s="98"/>
      <x:c r="I34" s="98"/>
      <x:c r="J34" s="98"/>
    </x:row>
    <x:row r="35">
      <x:c r="A35" s="98"/>
      <x:c r="B35" s="98"/>
      <x:c r="C35" s="98"/>
      <x:c r="D35" s="98"/>
      <x:c r="E35" s="98"/>
      <x:c r="F35" s="98"/>
      <x:c r="G35" s="98"/>
      <x:c r="H35" s="98"/>
      <x:c r="I35" s="98"/>
      <x:c r="J35" s="98"/>
    </x:row>
    <x:row r="36">
      <x:c r="A36" s="98"/>
      <x:c r="B36" s="98"/>
      <x:c r="C36" s="98"/>
      <x:c r="D36" s="98"/>
      <x:c r="E36" s="98"/>
      <x:c r="F36" s="98"/>
      <x:c r="G36" s="98"/>
      <x:c r="H36" s="98"/>
      <x:c r="I36" s="98"/>
      <x:c r="J36" s="98"/>
    </x:row>
    <x:row r="37">
      <x:c r="A37" s="98"/>
      <x:c r="B37" s="98"/>
      <x:c r="C37" s="98"/>
      <x:c r="D37" s="98"/>
      <x:c r="E37" s="98"/>
      <x:c r="F37" s="98"/>
      <x:c r="G37" s="98"/>
      <x:c r="H37" s="98"/>
      <x:c r="I37" s="98"/>
      <x:c r="J37" s="98"/>
    </x:row>
    <x:row r="38">
      <x:c r="A38" s="98"/>
      <x:c r="B38" s="98"/>
      <x:c r="C38" s="98"/>
      <x:c r="D38" s="98"/>
      <x:c r="E38" s="98"/>
      <x:c r="F38" s="98"/>
      <x:c r="G38" s="98"/>
      <x:c r="H38" s="98"/>
      <x:c r="I38" s="98"/>
      <x:c r="J38" s="98"/>
    </x:row>
    <x:row r="39">
      <x:c r="A39" s="98"/>
      <x:c r="B39" s="98"/>
      <x:c r="C39" s="98"/>
      <x:c r="D39" s="98"/>
      <x:c r="E39" s="98"/>
      <x:c r="F39" s="98"/>
      <x:c r="G39" s="98"/>
      <x:c r="H39" s="98"/>
      <x:c r="I39" s="98"/>
      <x:c r="J39" s="98"/>
    </x:row>
    <x:row r="40">
      <x:c r="A40" s="98"/>
      <x:c r="B40" s="98"/>
      <x:c r="C40" s="98"/>
      <x:c r="D40" s="98"/>
      <x:c r="E40" s="98"/>
      <x:c r="F40" s="98"/>
      <x:c r="G40" s="98"/>
      <x:c r="H40" s="98"/>
      <x:c r="I40" s="98"/>
      <x:c r="J40" s="98"/>
    </x:row>
    <x:row r="41">
      <x:c r="A41" s="98"/>
      <x:c r="B41" s="98"/>
      <x:c r="C41" s="98"/>
      <x:c r="D41" s="98"/>
      <x:c r="E41" s="98"/>
      <x:c r="F41" s="98"/>
      <x:c r="G41" s="98"/>
      <x:c r="H41" s="98"/>
      <x:c r="I41" s="98"/>
      <x:c r="J41" s="98"/>
    </x:row>
    <x:row r="42">
      <x:c r="A42" s="98"/>
      <x:c r="B42" s="98"/>
      <x:c r="C42" s="98"/>
      <x:c r="D42" s="98"/>
      <x:c r="E42" s="98"/>
      <x:c r="F42" s="98"/>
      <x:c r="G42" s="98"/>
      <x:c r="H42" s="98"/>
      <x:c r="I42" s="98"/>
      <x:c r="J42" s="98"/>
    </x:row>
    <x:row r="43">
      <x:c r="A43" s="98"/>
      <x:c r="B43" s="98"/>
      <x:c r="C43" s="98"/>
      <x:c r="D43" s="98"/>
      <x:c r="E43" s="98"/>
      <x:c r="F43" s="98"/>
      <x:c r="G43" s="98"/>
      <x:c r="H43" s="98"/>
      <x:c r="I43" s="98"/>
      <x:c r="J43" s="98"/>
    </x:row>
    <x:row r="44">
      <x:c r="A44" s="98"/>
      <x:c r="B44" s="98"/>
      <x:c r="C44" s="98"/>
      <x:c r="D44" s="98"/>
      <x:c r="E44" s="98"/>
      <x:c r="F44" s="98"/>
      <x:c r="G44" s="98"/>
      <x:c r="H44" s="98"/>
      <x:c r="I44" s="98"/>
      <x:c r="J44" s="98"/>
    </x:row>
    <x:row r="45">
      <x:c r="A45" s="98"/>
      <x:c r="B45" s="98"/>
      <x:c r="C45" s="98"/>
      <x:c r="D45" s="98"/>
      <x:c r="E45" s="98"/>
      <x:c r="F45" s="98"/>
      <x:c r="G45" s="98"/>
      <x:c r="H45" s="98"/>
      <x:c r="I45" s="98"/>
      <x:c r="J45" s="98"/>
    </x:row>
    <x:row r="46">
      <x:c r="A46" s="98"/>
      <x:c r="B46" s="98"/>
      <x:c r="C46" s="98"/>
      <x:c r="D46" s="98"/>
      <x:c r="E46" s="98"/>
      <x:c r="F46" s="98"/>
      <x:c r="G46" s="98"/>
      <x:c r="H46" s="98"/>
      <x:c r="I46" s="98"/>
      <x:c r="J46" s="98"/>
    </x:row>
    <x:row r="47">
      <x:c r="A47" s="98"/>
      <x:c r="B47" s="98"/>
      <x:c r="C47" s="98"/>
      <x:c r="D47" s="98"/>
      <x:c r="E47" s="98"/>
      <x:c r="F47" s="98"/>
      <x:c r="G47" s="98"/>
      <x:c r="H47" s="98"/>
      <x:c r="I47" s="98"/>
      <x:c r="J47" s="98"/>
    </x:row>
    <x:row r="48">
      <x:c r="A48" s="98"/>
      <x:c r="B48" s="98"/>
      <x:c r="C48" s="98"/>
      <x:c r="D48" s="98"/>
      <x:c r="E48" s="98"/>
      <x:c r="F48" s="98"/>
      <x:c r="G48" s="98"/>
      <x:c r="H48" s="98"/>
      <x:c r="I48" s="98"/>
      <x:c r="J48" s="98"/>
    </x:row>
    <x:row r="49">
      <x:c r="A49" s="98"/>
      <x:c r="B49" s="98"/>
      <x:c r="C49" s="98"/>
      <x:c r="D49" s="98"/>
      <x:c r="E49" s="98"/>
      <x:c r="F49" s="98"/>
      <x:c r="G49" s="98"/>
      <x:c r="H49" s="98"/>
      <x:c r="I49" s="98"/>
      <x:c r="J49" s="98"/>
    </x:row>
    <x:row r="50">
      <x:c r="A50" s="98"/>
      <x:c r="B50" s="98"/>
      <x:c r="C50" s="98"/>
      <x:c r="D50" s="98"/>
      <x:c r="E50" s="98"/>
      <x:c r="F50" s="98"/>
      <x:c r="G50" s="98"/>
      <x:c r="H50" s="98"/>
      <x:c r="I50" s="98"/>
      <x:c r="J50" s="98"/>
    </x:row>
    <x:row r="51">
      <x:c r="A51" s="98"/>
      <x:c r="B51" s="98"/>
      <x:c r="C51" s="98"/>
      <x:c r="D51" s="98"/>
      <x:c r="E51" s="98"/>
      <x:c r="F51" s="98"/>
      <x:c r="G51" s="98"/>
      <x:c r="H51" s="98"/>
      <x:c r="I51" s="98"/>
      <x:c r="J51" s="98"/>
    </x:row>
    <x:row r="52">
      <x:c r="A52" s="98"/>
      <x:c r="B52" s="98"/>
      <x:c r="C52" s="98"/>
      <x:c r="D52" s="98"/>
      <x:c r="E52" s="98"/>
      <x:c r="F52" s="98"/>
      <x:c r="G52" s="98"/>
      <x:c r="H52" s="98"/>
      <x:c r="I52" s="98"/>
      <x:c r="J52" s="98"/>
    </x:row>
    <x:row r="53">
      <x:c r="A53" s="98"/>
      <x:c r="B53" s="98"/>
      <x:c r="C53" s="98"/>
      <x:c r="D53" s="98"/>
      <x:c r="E53" s="98"/>
      <x:c r="F53" s="98"/>
      <x:c r="G53" s="98"/>
      <x:c r="H53" s="98"/>
      <x:c r="I53" s="98"/>
      <x:c r="J53" s="98"/>
    </x:row>
    <x:row r="54">
      <x:c r="A54" s="98"/>
      <x:c r="B54" s="98"/>
      <x:c r="C54" s="98"/>
      <x:c r="D54" s="98"/>
      <x:c r="E54" s="98"/>
      <x:c r="F54" s="98"/>
      <x:c r="G54" s="98"/>
      <x:c r="H54" s="98"/>
      <x:c r="I54" s="98"/>
      <x:c r="J54" s="98"/>
    </x:row>
    <x:row r="55">
      <x:c r="A55" s="98"/>
      <x:c r="B55" s="98"/>
      <x:c r="C55" s="98"/>
      <x:c r="D55" s="98"/>
      <x:c r="E55" s="98"/>
      <x:c r="F55" s="98"/>
      <x:c r="G55" s="98"/>
      <x:c r="H55" s="98"/>
      <x:c r="I55" s="98"/>
      <x:c r="J55" s="98"/>
    </x:row>
    <x:row r="56">
      <x:c r="A56" s="98"/>
      <x:c r="B56" s="98"/>
      <x:c r="C56" s="98"/>
      <x:c r="D56" s="98"/>
      <x:c r="E56" s="98"/>
      <x:c r="F56" s="98"/>
      <x:c r="G56" s="98"/>
      <x:c r="H56" s="98"/>
      <x:c r="I56" s="98"/>
      <x:c r="J56" s="98"/>
    </x:row>
    <x:row r="57">
      <x:c r="A57" s="98"/>
      <x:c r="B57" s="98"/>
      <x:c r="C57" s="98"/>
      <x:c r="D57" s="98"/>
      <x:c r="E57" s="98"/>
      <x:c r="F57" s="98"/>
      <x:c r="G57" s="98"/>
      <x:c r="H57" s="98"/>
      <x:c r="I57" s="98"/>
      <x:c r="J57" s="98"/>
    </x:row>
    <x:row r="58">
      <x:c r="A58" s="98"/>
      <x:c r="B58" s="98"/>
      <x:c r="C58" s="98"/>
      <x:c r="D58" s="98"/>
      <x:c r="E58" s="98"/>
      <x:c r="F58" s="98"/>
      <x:c r="G58" s="98"/>
      <x:c r="H58" s="98"/>
      <x:c r="I58" s="98"/>
      <x:c r="J58" s="98"/>
    </x:row>
    <x:row r="59">
      <x:c r="A59" s="98"/>
      <x:c r="B59" s="98"/>
      <x:c r="C59" s="98"/>
      <x:c r="D59" s="98"/>
      <x:c r="E59" s="98"/>
      <x:c r="F59" s="98"/>
      <x:c r="G59" s="98"/>
      <x:c r="H59" s="98"/>
      <x:c r="I59" s="98"/>
      <x:c r="J59" s="98"/>
    </x:row>
    <x:row r="60">
      <x:c r="A60" s="98"/>
      <x:c r="B60" s="98"/>
      <x:c r="C60" s="98"/>
      <x:c r="D60" s="98"/>
      <x:c r="E60" s="98"/>
      <x:c r="F60" s="98"/>
      <x:c r="G60" s="98"/>
      <x:c r="H60" s="98"/>
      <x:c r="I60" s="98"/>
      <x:c r="J60" s="98"/>
    </x:row>
    <x:row r="61">
      <x:c r="A61" s="98"/>
      <x:c r="B61" s="98"/>
      <x:c r="C61" s="98"/>
      <x:c r="D61" s="98"/>
      <x:c r="E61" s="98"/>
      <x:c r="F61" s="98"/>
      <x:c r="G61" s="98"/>
      <x:c r="H61" s="98"/>
      <x:c r="I61" s="98"/>
      <x:c r="J61" s="98"/>
    </x:row>
    <x:row r="62">
      <x:c r="A62" s="98"/>
      <x:c r="B62" s="98"/>
      <x:c r="C62" s="98"/>
      <x:c r="D62" s="98"/>
      <x:c r="E62" s="98"/>
      <x:c r="F62" s="98"/>
      <x:c r="G62" s="98"/>
      <x:c r="H62" s="98"/>
      <x:c r="I62" s="98"/>
      <x:c r="J62" s="98"/>
    </x:row>
    <x:row r="63">
      <x:c r="A63" s="98"/>
      <x:c r="B63" s="98"/>
      <x:c r="C63" s="98"/>
      <x:c r="D63" s="98"/>
      <x:c r="E63" s="98"/>
      <x:c r="F63" s="98"/>
      <x:c r="G63" s="98"/>
      <x:c r="H63" s="98"/>
      <x:c r="I63" s="98"/>
      <x:c r="J63" s="98"/>
    </x:row>
    <x:row r="64">
      <x:c r="A64" s="98"/>
      <x:c r="B64" s="98"/>
      <x:c r="C64" s="98"/>
      <x:c r="D64" s="98"/>
      <x:c r="E64" s="98"/>
      <x:c r="F64" s="98"/>
      <x:c r="G64" s="98"/>
      <x:c r="H64" s="98"/>
      <x:c r="I64" s="98"/>
      <x:c r="J64" s="98"/>
    </x:row>
    <x:row r="65">
      <x:c r="A65" s="98"/>
      <x:c r="B65" s="98"/>
      <x:c r="C65" s="98"/>
      <x:c r="D65" s="98"/>
      <x:c r="E65" s="98"/>
      <x:c r="F65" s="98"/>
      <x:c r="G65" s="98"/>
      <x:c r="H65" s="98"/>
      <x:c r="I65" s="98"/>
      <x:c r="J65" s="98"/>
    </x:row>
    <x:row r="66">
      <x:c r="A66" s="98"/>
      <x:c r="B66" s="98"/>
      <x:c r="C66" s="98"/>
      <x:c r="D66" s="98"/>
      <x:c r="E66" s="98"/>
      <x:c r="F66" s="98"/>
      <x:c r="G66" s="98"/>
      <x:c r="H66" s="98"/>
      <x:c r="I66" s="98"/>
      <x:c r="J66" s="98"/>
    </x:row>
    <x:row r="67">
      <x:c r="A67" s="98"/>
      <x:c r="B67" s="98"/>
      <x:c r="C67" s="98"/>
      <x:c r="D67" s="98"/>
      <x:c r="E67" s="98"/>
      <x:c r="F67" s="98"/>
      <x:c r="G67" s="98"/>
      <x:c r="H67" s="98"/>
      <x:c r="I67" s="98"/>
      <x:c r="J67" s="98"/>
    </x:row>
    <x:row r="68">
      <x:c r="A68" s="98"/>
      <x:c r="B68" s="98"/>
      <x:c r="C68" s="98"/>
      <x:c r="D68" s="98"/>
      <x:c r="E68" s="98"/>
      <x:c r="F68" s="98"/>
      <x:c r="G68" s="98"/>
      <x:c r="H68" s="98"/>
      <x:c r="I68" s="98"/>
      <x:c r="J68" s="98"/>
    </x:row>
    <x:row r="69">
      <x:c r="A69" s="98"/>
      <x:c r="B69" s="98"/>
      <x:c r="C69" s="98"/>
      <x:c r="D69" s="98"/>
      <x:c r="E69" s="98"/>
      <x:c r="F69" s="98"/>
      <x:c r="G69" s="98"/>
      <x:c r="H69" s="98"/>
      <x:c r="I69" s="98"/>
      <x:c r="J69" s="98"/>
    </x:row>
    <x:row r="70">
      <x:c r="A70" s="98"/>
      <x:c r="B70" s="98"/>
      <x:c r="C70" s="98"/>
      <x:c r="D70" s="98"/>
      <x:c r="E70" s="98"/>
      <x:c r="F70" s="98"/>
      <x:c r="G70" s="98"/>
      <x:c r="H70" s="98"/>
      <x:c r="I70" s="98"/>
      <x:c r="J70" s="98"/>
    </x:row>
    <x:row r="71">
      <x:c r="A71" s="98"/>
      <x:c r="B71" s="98"/>
      <x:c r="C71" s="98"/>
      <x:c r="D71" s="98"/>
      <x:c r="E71" s="98"/>
      <x:c r="F71" s="98"/>
      <x:c r="G71" s="98"/>
      <x:c r="H71" s="98"/>
      <x:c r="I71" s="98"/>
      <x:c r="J71" s="98"/>
    </x:row>
    <x:row r="72">
      <x:c r="A72" s="98"/>
      <x:c r="B72" s="98"/>
      <x:c r="C72" s="98"/>
      <x:c r="D72" s="98"/>
      <x:c r="E72" s="98"/>
      <x:c r="F72" s="98"/>
      <x:c r="G72" s="98"/>
      <x:c r="H72" s="98"/>
      <x:c r="I72" s="98"/>
      <x:c r="J72" s="98"/>
    </x:row>
    <x:row r="73">
      <x:c r="A73" s="98"/>
      <x:c r="B73" s="98"/>
      <x:c r="C73" s="98"/>
      <x:c r="D73" s="98"/>
      <x:c r="E73" s="98"/>
      <x:c r="F73" s="98"/>
      <x:c r="G73" s="98"/>
      <x:c r="H73" s="98"/>
      <x:c r="I73" s="98"/>
      <x:c r="J73" s="98"/>
    </x:row>
    <x:row r="74">
      <x:c r="A74" s="98"/>
      <x:c r="B74" s="98"/>
      <x:c r="C74" s="98"/>
      <x:c r="D74" s="98"/>
      <x:c r="E74" s="98"/>
      <x:c r="F74" s="98"/>
      <x:c r="G74" s="98"/>
      <x:c r="H74" s="98"/>
      <x:c r="I74" s="98"/>
      <x:c r="J74" s="98"/>
    </x:row>
    <x:row r="75">
      <x:c r="A75" s="98"/>
      <x:c r="B75" s="98"/>
      <x:c r="C75" s="98"/>
      <x:c r="D75" s="98"/>
      <x:c r="E75" s="98"/>
      <x:c r="F75" s="98"/>
      <x:c r="G75" s="98"/>
      <x:c r="H75" s="98"/>
      <x:c r="I75" s="98"/>
      <x:c r="J75" s="98"/>
    </x:row>
    <x:row r="76">
      <x:c r="A76" s="98"/>
      <x:c r="B76" s="98"/>
      <x:c r="C76" s="98"/>
      <x:c r="D76" s="98"/>
      <x:c r="E76" s="98"/>
      <x:c r="F76" s="98"/>
      <x:c r="G76" s="98"/>
      <x:c r="H76" s="98"/>
      <x:c r="I76" s="98"/>
      <x:c r="J76" s="98"/>
    </x:row>
    <x:row r="77">
      <x:c r="A77" s="98"/>
      <x:c r="B77" s="98"/>
      <x:c r="C77" s="98"/>
      <x:c r="D77" s="98"/>
      <x:c r="E77" s="98"/>
      <x:c r="F77" s="98"/>
      <x:c r="G77" s="98"/>
      <x:c r="H77" s="98"/>
      <x:c r="I77" s="98"/>
      <x:c r="J77" s="98"/>
    </x:row>
    <x:row r="78">
      <x:c r="A78" s="98"/>
      <x:c r="B78" s="98"/>
      <x:c r="C78" s="98"/>
      <x:c r="D78" s="98"/>
      <x:c r="E78" s="98"/>
      <x:c r="F78" s="98"/>
      <x:c r="G78" s="98"/>
      <x:c r="H78" s="98"/>
      <x:c r="I78" s="98"/>
      <x:c r="J78" s="98"/>
    </x:row>
    <x:row r="79">
      <x:c r="A79" s="98"/>
      <x:c r="B79" s="98"/>
      <x:c r="C79" s="98"/>
      <x:c r="D79" s="98"/>
      <x:c r="E79" s="98"/>
      <x:c r="F79" s="98"/>
      <x:c r="G79" s="98"/>
      <x:c r="H79" s="98"/>
      <x:c r="I79" s="98"/>
      <x:c r="J79" s="98"/>
    </x:row>
    <x:row r="80">
      <x:c r="A80" s="98"/>
      <x:c r="B80" s="98"/>
      <x:c r="C80" s="98"/>
      <x:c r="D80" s="98"/>
      <x:c r="E80" s="98"/>
      <x:c r="F80" s="98"/>
      <x:c r="G80" s="98"/>
      <x:c r="H80" s="98"/>
      <x:c r="I80" s="98"/>
      <x:c r="J80" s="98"/>
    </x:row>
    <x:row r="81">
      <x:c r="A81" s="98"/>
      <x:c r="B81" s="98"/>
      <x:c r="C81" s="98"/>
      <x:c r="D81" s="98"/>
      <x:c r="E81" s="98"/>
      <x:c r="F81" s="98"/>
      <x:c r="G81" s="98"/>
      <x:c r="H81" s="98"/>
      <x:c r="I81" s="98"/>
      <x:c r="J81" s="98"/>
    </x:row>
    <x:row r="82">
      <x:c r="A82" s="98"/>
      <x:c r="B82" s="98"/>
      <x:c r="C82" s="98"/>
      <x:c r="D82" s="98"/>
      <x:c r="E82" s="98"/>
      <x:c r="F82" s="98"/>
      <x:c r="G82" s="98"/>
      <x:c r="H82" s="98"/>
      <x:c r="I82" s="98"/>
      <x:c r="J82" s="98"/>
    </x:row>
    <x:row r="83">
      <x:c r="A83" s="98"/>
      <x:c r="B83" s="98"/>
      <x:c r="C83" s="98"/>
      <x:c r="D83" s="98"/>
      <x:c r="E83" s="98"/>
      <x:c r="F83" s="98"/>
      <x:c r="G83" s="98"/>
      <x:c r="H83" s="98"/>
      <x:c r="I83" s="98"/>
      <x:c r="J83" s="98"/>
    </x:row>
    <x:row r="84">
      <x:c r="A84" s="98"/>
      <x:c r="B84" s="98"/>
      <x:c r="C84" s="98"/>
      <x:c r="D84" s="98"/>
      <x:c r="E84" s="98"/>
      <x:c r="F84" s="98"/>
      <x:c r="G84" s="98"/>
      <x:c r="H84" s="98"/>
      <x:c r="I84" s="98"/>
      <x:c r="J84" s="98"/>
    </x:row>
    <x:row r="85">
      <x:c r="A85" s="98"/>
      <x:c r="B85" s="98"/>
      <x:c r="C85" s="98"/>
      <x:c r="D85" s="98"/>
      <x:c r="E85" s="98"/>
      <x:c r="F85" s="98"/>
      <x:c r="G85" s="98"/>
      <x:c r="H85" s="98"/>
      <x:c r="I85" s="98"/>
      <x:c r="J85" s="98"/>
    </x:row>
    <x:row r="86">
      <x:c r="A86" s="98"/>
      <x:c r="B86" s="98"/>
      <x:c r="C86" s="98"/>
      <x:c r="D86" s="98"/>
      <x:c r="E86" s="98"/>
      <x:c r="F86" s="98"/>
      <x:c r="G86" s="98"/>
      <x:c r="H86" s="98"/>
      <x:c r="I86" s="98"/>
      <x:c r="J86" s="98"/>
    </x:row>
    <x:row r="87">
      <x:c r="A87" s="98"/>
      <x:c r="B87" s="98"/>
      <x:c r="C87" s="98"/>
      <x:c r="D87" s="98"/>
      <x:c r="E87" s="98"/>
      <x:c r="F87" s="98"/>
      <x:c r="G87" s="98"/>
      <x:c r="H87" s="98"/>
      <x:c r="I87" s="98"/>
      <x:c r="J87" s="98"/>
    </x:row>
    <x:row r="88">
      <x:c r="A88" s="98"/>
      <x:c r="B88" s="98"/>
      <x:c r="C88" s="98"/>
      <x:c r="D88" s="98"/>
      <x:c r="E88" s="98"/>
      <x:c r="F88" s="98"/>
      <x:c r="G88" s="98"/>
      <x:c r="H88" s="98"/>
      <x:c r="I88" s="98"/>
      <x:c r="J88" s="98"/>
    </x:row>
    <x:row r="89">
      <x:c r="A89" s="98"/>
      <x:c r="B89" s="98"/>
      <x:c r="C89" s="98"/>
      <x:c r="D89" s="98"/>
      <x:c r="E89" s="98"/>
      <x:c r="F89" s="98"/>
      <x:c r="G89" s="98"/>
      <x:c r="H89" s="98"/>
      <x:c r="I89" s="98"/>
      <x:c r="J89" s="98"/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</x:row>
  </x:sheetData>
  <x:mergeCells>
    <x:mergeCell ref="A1:J1"/>
  </x:mergeCells>
  <x:dataValidations count="2">
    <x:dataValidation type="list" sqref="D4:D200">
      <x:formula1>"Verbraucher,Verbrauchergruppe,Erzeuger,Speicher"</x:formula1>
    </x:dataValidation>
    <x:dataValidation type="list" sqref="F4:F2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3" hidden="0" customWidth="1"/>
    <x:col min="5" max="5" width="15" hidden="0" customWidth="1"/>
    <x:col min="6" max="6" width="16" hidden="0" customWidth="1"/>
    <x:col min="7" max="7" width="28" hidden="0" customWidth="1"/>
    <x:col min="8" max="8" width="40" hidden="0" customWidth="1"/>
  </x:cols>
  <x:sheetData>
    <x:row r="1" ht="26" customHeight="1">
      <x:c r="A1" s="4" t="str">
        <x:v>Kosten – globale wirtschaftliche Parameter</x:v>
      </x:c>
      <x:c r="B1" s="4"/>
      <x:c r="C1" s="4"/>
      <x:c r="D1" s="4"/>
      <x:c r="E1" s="4"/>
      <x:c r="F1" s="4"/>
      <x:c r="G1" s="4"/>
      <x:c r="H1" s="4"/>
    </x:row>
    <x:row r="3" ht="28" customHeight="1">
      <x:c r="A3" s="26" t="str">
        <x:v>kosten_id</x:v>
      </x:c>
      <x:c r="B3" s="26" t="str">
        <x:v>kategorie</x:v>
      </x:c>
      <x:c r="C3" s="26" t="str">
        <x:v>parameter</x:v>
      </x:c>
      <x:c r="D3" s="26" t="str">
        <x:v>wert</x:v>
      </x:c>
      <x:c r="E3" s="26" t="str">
        <x:v>einheit</x:v>
      </x:c>
      <x:c r="F3" s="26" t="str">
        <x:v>gueltig_ab</x:v>
      </x:c>
      <x:c r="G3" s="26" t="str">
        <x:v>quelle</x:v>
      </x:c>
      <x:c r="H3" s="26" t="str">
        <x:v>hinweis</x:v>
      </x:c>
    </x:row>
    <x:row r="4">
      <x:c r="A4" s="32" t="str">
        <x:v>K001</x:v>
      </x:c>
      <x:c r="B4" s="32" t="str">
        <x:v>Energiepreis</x:v>
      </x:c>
      <x:c r="C4" s="32" t="str">
        <x:v>strombezug_arbeitspreis</x:v>
      </x:c>
      <x:c r="D4" s="71" t="n">
        <x:v>0.22</x:v>
      </x:c>
      <x:c r="E4" s="32" t="str">
        <x:v>EUR/kWh</x:v>
      </x:c>
      <x:c r="F4" s="32" t="str">
        <x:v>2025-01-01</x:v>
      </x:c>
      <x:c r="G4" s="32" t="str">
        <x:v>Vertrag/Rechnung</x:v>
      </x:c>
      <x:c r="H4" s="32" t="str">
        <x:v>Netzentgelte/Steuern ggf. separat</x:v>
      </x:c>
    </x:row>
    <x:row r="5">
      <x:c r="A5" s="32" t="str">
        <x:v>K002</x:v>
      </x:c>
      <x:c r="B5" s="32" t="str">
        <x:v>Energiepreis</x:v>
      </x:c>
      <x:c r="C5" s="32" t="str">
        <x:v>einspeiseverguetung</x:v>
      </x:c>
      <x:c r="D5" s="71" t="n">
        <x:v>0.08</x:v>
      </x:c>
      <x:c r="E5" s="32" t="str">
        <x:v>EUR/kWh</x:v>
      </x:c>
      <x:c r="F5" s="32" t="str">
        <x:v>2025-01-01</x:v>
      </x:c>
      <x:c r="G5" s="32" t="str">
        <x:v>Abrechnung</x:v>
      </x:c>
      <x:c r="H5" s="32" t="str">
        <x:v>Beispielwert ersetzen</x:v>
      </x:c>
    </x:row>
    <x:row r="6">
      <x:c r="A6" s="32" t="str">
        <x:v>K003</x:v>
      </x:c>
      <x:c r="B6" s="32" t="str">
        <x:v>Finanzen</x:v>
      </x:c>
      <x:c r="C6" s="32" t="str">
        <x:v>kalkulationszins</x:v>
      </x:c>
      <x:c r="D6" s="71" t="n">
        <x:v>0.05</x:v>
      </x:c>
      <x:c r="E6" s="32" t="str">
        <x:v>-</x:v>
      </x:c>
      <x:c r="F6" s="32" t="str">
        <x:v>2025-01-01</x:v>
      </x:c>
      <x:c r="G6" s="32" t="str">
        <x:v>Vorgabe</x:v>
      </x:c>
      <x:c r="H6" s="32" t="str"/>
    </x:row>
    <x:row r="7">
      <x:c r="A7" s="32" t="str">
        <x:v>K004</x:v>
      </x:c>
      <x:c r="B7" s="32" t="str">
        <x:v>Finanzen</x:v>
      </x:c>
      <x:c r="C7" s="32" t="str">
        <x:v>betrachtungszeitraum</x:v>
      </x:c>
      <x:c r="D7" s="71" t="n">
        <x:v>20</x:v>
      </x:c>
      <x:c r="E7" s="32" t="str">
        <x:v>a</x:v>
      </x:c>
      <x:c r="F7" s="32" t="str">
        <x:v>2025-01-01</x:v>
      </x:c>
      <x:c r="G7" s="32" t="str">
        <x:v>Vorgabe</x:v>
      </x:c>
      <x:c r="H7" s="32" t="str"/>
    </x:row>
    <x:row r="8">
      <x:c r="A8" s="98"/>
      <x:c r="B8" s="98"/>
      <x:c r="C8" s="98"/>
      <x:c r="D8" s="100"/>
      <x:c r="E8" s="98"/>
      <x:c r="F8" s="98"/>
      <x:c r="G8" s="98"/>
      <x:c r="H8" s="98"/>
    </x:row>
    <x:row r="9">
      <x:c r="A9" s="98"/>
      <x:c r="B9" s="98"/>
      <x:c r="C9" s="98"/>
      <x:c r="D9" s="100"/>
      <x:c r="E9" s="98"/>
      <x:c r="F9" s="98"/>
      <x:c r="G9" s="98"/>
      <x:c r="H9" s="98"/>
    </x:row>
    <x:row r="10">
      <x:c r="A10" s="98"/>
      <x:c r="B10" s="98"/>
      <x:c r="C10" s="98"/>
      <x:c r="D10" s="100"/>
      <x:c r="E10" s="98"/>
      <x:c r="F10" s="98"/>
      <x:c r="G10" s="98"/>
      <x:c r="H10" s="98"/>
    </x:row>
    <x:row r="11">
      <x:c r="A11" s="98"/>
      <x:c r="B11" s="98"/>
      <x:c r="C11" s="98"/>
      <x:c r="D11" s="100"/>
      <x:c r="E11" s="98"/>
      <x:c r="F11" s="98"/>
      <x:c r="G11" s="98"/>
      <x:c r="H11" s="98"/>
    </x:row>
    <x:row r="12">
      <x:c r="A12" s="98"/>
      <x:c r="B12" s="98"/>
      <x:c r="C12" s="98"/>
      <x:c r="D12" s="100"/>
      <x:c r="E12" s="98"/>
      <x:c r="F12" s="98"/>
      <x:c r="G12" s="98"/>
      <x:c r="H12" s="98"/>
    </x:row>
    <x:row r="13">
      <x:c r="A13" s="98"/>
      <x:c r="B13" s="98"/>
      <x:c r="C13" s="98"/>
      <x:c r="D13" s="100"/>
      <x:c r="E13" s="98"/>
      <x:c r="F13" s="98"/>
      <x:c r="G13" s="98"/>
      <x:c r="H13" s="98"/>
    </x:row>
    <x:row r="14">
      <x:c r="A14" s="98"/>
      <x:c r="B14" s="98"/>
      <x:c r="C14" s="98"/>
      <x:c r="D14" s="100"/>
      <x:c r="E14" s="98"/>
      <x:c r="F14" s="98"/>
      <x:c r="G14" s="98"/>
      <x:c r="H14" s="98"/>
    </x:row>
    <x:row r="15">
      <x:c r="A15" s="98"/>
      <x:c r="B15" s="98"/>
      <x:c r="C15" s="98"/>
      <x:c r="D15" s="100"/>
      <x:c r="E15" s="98"/>
      <x:c r="F15" s="98"/>
      <x:c r="G15" s="98"/>
      <x:c r="H15" s="98"/>
    </x:row>
    <x:row r="16">
      <x:c r="A16" s="98"/>
      <x:c r="B16" s="98"/>
      <x:c r="C16" s="98"/>
      <x:c r="D16" s="100"/>
      <x:c r="E16" s="98"/>
      <x:c r="F16" s="98"/>
      <x:c r="G16" s="98"/>
      <x:c r="H16" s="98"/>
    </x:row>
    <x:row r="17">
      <x:c r="A17" s="98"/>
      <x:c r="B17" s="98"/>
      <x:c r="C17" s="98"/>
      <x:c r="D17" s="100"/>
      <x:c r="E17" s="98"/>
      <x:c r="F17" s="98"/>
      <x:c r="G17" s="98"/>
      <x:c r="H17" s="98"/>
    </x:row>
    <x:row r="18">
      <x:c r="A18" s="98"/>
      <x:c r="B18" s="98"/>
      <x:c r="C18" s="98"/>
      <x:c r="D18" s="100"/>
      <x:c r="E18" s="98"/>
      <x:c r="F18" s="98"/>
      <x:c r="G18" s="98"/>
      <x:c r="H18" s="98"/>
    </x:row>
    <x:row r="19">
      <x:c r="A19" s="98"/>
      <x:c r="B19" s="98"/>
      <x:c r="C19" s="98"/>
      <x:c r="D19" s="100"/>
      <x:c r="E19" s="98"/>
      <x:c r="F19" s="98"/>
      <x:c r="G19" s="98"/>
      <x:c r="H19" s="98"/>
    </x:row>
    <x:row r="20">
      <x:c r="A20" s="98"/>
      <x:c r="B20" s="98"/>
      <x:c r="C20" s="98"/>
      <x:c r="D20" s="100"/>
      <x:c r="E20" s="98"/>
      <x:c r="F20" s="98"/>
      <x:c r="G20" s="98"/>
      <x:c r="H20" s="98"/>
    </x:row>
    <x:row r="21">
      <x:c r="A21" s="98"/>
      <x:c r="B21" s="98"/>
      <x:c r="C21" s="98"/>
      <x:c r="D21" s="100"/>
      <x:c r="E21" s="98"/>
      <x:c r="F21" s="98"/>
      <x:c r="G21" s="98"/>
      <x:c r="H21" s="98"/>
    </x:row>
    <x:row r="22">
      <x:c r="A22" s="98"/>
      <x:c r="B22" s="98"/>
      <x:c r="C22" s="98"/>
      <x:c r="D22" s="100"/>
      <x:c r="E22" s="98"/>
      <x:c r="F22" s="98"/>
      <x:c r="G22" s="98"/>
      <x:c r="H22" s="98"/>
    </x:row>
    <x:row r="23">
      <x:c r="A23" s="98"/>
      <x:c r="B23" s="98"/>
      <x:c r="C23" s="98"/>
      <x:c r="D23" s="100"/>
      <x:c r="E23" s="98"/>
      <x:c r="F23" s="98"/>
      <x:c r="G23" s="98"/>
      <x:c r="H23" s="98"/>
    </x:row>
    <x:row r="24">
      <x:c r="A24" s="98"/>
      <x:c r="B24" s="98"/>
      <x:c r="C24" s="98"/>
      <x:c r="D24" s="100"/>
      <x:c r="E24" s="98"/>
      <x:c r="F24" s="98"/>
      <x:c r="G24" s="98"/>
      <x:c r="H24" s="98"/>
    </x:row>
    <x:row r="25">
      <x:c r="A25" s="98"/>
      <x:c r="B25" s="98"/>
      <x:c r="C25" s="98"/>
      <x:c r="D25" s="100"/>
      <x:c r="E25" s="98"/>
      <x:c r="F25" s="98"/>
      <x:c r="G25" s="98"/>
      <x:c r="H25" s="98"/>
    </x:row>
    <x:row r="26">
      <x:c r="A26" s="98"/>
      <x:c r="B26" s="98"/>
      <x:c r="C26" s="98"/>
      <x:c r="D26" s="100"/>
      <x:c r="E26" s="98"/>
      <x:c r="F26" s="98"/>
      <x:c r="G26" s="98"/>
      <x:c r="H26" s="98"/>
    </x:row>
    <x:row r="27">
      <x:c r="A27" s="98"/>
      <x:c r="B27" s="98"/>
      <x:c r="C27" s="98"/>
      <x:c r="D27" s="100"/>
      <x:c r="E27" s="98"/>
      <x:c r="F27" s="98"/>
      <x:c r="G27" s="98"/>
      <x:c r="H27" s="98"/>
    </x:row>
    <x:row r="28">
      <x:c r="A28" s="98"/>
      <x:c r="B28" s="98"/>
      <x:c r="C28" s="98"/>
      <x:c r="D28" s="100"/>
      <x:c r="E28" s="98"/>
      <x:c r="F28" s="98"/>
      <x:c r="G28" s="98"/>
      <x:c r="H28" s="98"/>
    </x:row>
    <x:row r="29">
      <x:c r="A29" s="98"/>
      <x:c r="B29" s="98"/>
      <x:c r="C29" s="98"/>
      <x:c r="D29" s="100"/>
      <x:c r="E29" s="98"/>
      <x:c r="F29" s="98"/>
      <x:c r="G29" s="98"/>
      <x:c r="H29" s="98"/>
    </x:row>
    <x:row r="30">
      <x:c r="A30" s="98"/>
      <x:c r="B30" s="98"/>
      <x:c r="C30" s="98"/>
      <x:c r="D30" s="100"/>
      <x:c r="E30" s="98"/>
      <x:c r="F30" s="98"/>
      <x:c r="G30" s="98"/>
      <x:c r="H30" s="98"/>
    </x:row>
    <x:row r="31">
      <x:c r="A31" s="98"/>
      <x:c r="B31" s="98"/>
      <x:c r="C31" s="98"/>
      <x:c r="D31" s="100"/>
      <x:c r="E31" s="98"/>
      <x:c r="F31" s="98"/>
      <x:c r="G31" s="98"/>
      <x:c r="H31" s="98"/>
    </x:row>
    <x:row r="32">
      <x:c r="A32" s="98"/>
      <x:c r="B32" s="98"/>
      <x:c r="C32" s="98"/>
      <x:c r="D32" s="100"/>
      <x:c r="E32" s="98"/>
      <x:c r="F32" s="98"/>
      <x:c r="G32" s="98"/>
      <x:c r="H32" s="98"/>
    </x:row>
    <x:row r="33">
      <x:c r="A33" s="98"/>
      <x:c r="B33" s="98"/>
      <x:c r="C33" s="98"/>
      <x:c r="D33" s="100"/>
      <x:c r="E33" s="98"/>
      <x:c r="F33" s="98"/>
      <x:c r="G33" s="98"/>
      <x:c r="H33" s="98"/>
    </x:row>
    <x:row r="34">
      <x:c r="A34" s="98"/>
      <x:c r="B34" s="98"/>
      <x:c r="C34" s="98"/>
      <x:c r="D34" s="100"/>
      <x:c r="E34" s="98"/>
      <x:c r="F34" s="98"/>
      <x:c r="G34" s="98"/>
      <x:c r="H34" s="98"/>
    </x:row>
    <x:row r="35">
      <x:c r="A35" s="98"/>
      <x:c r="B35" s="98"/>
      <x:c r="C35" s="98"/>
      <x:c r="D35" s="100"/>
      <x:c r="E35" s="98"/>
      <x:c r="F35" s="98"/>
      <x:c r="G35" s="98"/>
      <x:c r="H35" s="98"/>
    </x:row>
    <x:row r="36">
      <x:c r="A36" s="98"/>
      <x:c r="B36" s="98"/>
      <x:c r="C36" s="98"/>
      <x:c r="D36" s="100"/>
      <x:c r="E36" s="98"/>
      <x:c r="F36" s="98"/>
      <x:c r="G36" s="98"/>
      <x:c r="H36" s="98"/>
    </x:row>
    <x:row r="37">
      <x:c r="A37" s="98"/>
      <x:c r="B37" s="98"/>
      <x:c r="C37" s="98"/>
      <x:c r="D37" s="100"/>
      <x:c r="E37" s="98"/>
      <x:c r="F37" s="98"/>
      <x:c r="G37" s="98"/>
      <x:c r="H37" s="98"/>
    </x:row>
    <x:row r="38">
      <x:c r="A38" s="98"/>
      <x:c r="B38" s="98"/>
      <x:c r="C38" s="98"/>
      <x:c r="D38" s="100"/>
      <x:c r="E38" s="98"/>
      <x:c r="F38" s="98"/>
      <x:c r="G38" s="98"/>
      <x:c r="H38" s="98"/>
    </x:row>
    <x:row r="39">
      <x:c r="A39" s="98"/>
      <x:c r="B39" s="98"/>
      <x:c r="C39" s="98"/>
      <x:c r="D39" s="100"/>
      <x:c r="E39" s="98"/>
      <x:c r="F39" s="98"/>
      <x:c r="G39" s="98"/>
      <x:c r="H39" s="98"/>
    </x:row>
    <x:row r="40">
      <x:c r="A40" s="98"/>
      <x:c r="B40" s="98"/>
      <x:c r="C40" s="98"/>
      <x:c r="D40" s="100"/>
      <x:c r="E40" s="98"/>
      <x:c r="F40" s="98"/>
      <x:c r="G40" s="98"/>
      <x:c r="H40" s="98"/>
    </x:row>
    <x:row r="41">
      <x:c r="A41" s="98"/>
      <x:c r="B41" s="98"/>
      <x:c r="C41" s="98"/>
      <x:c r="D41" s="100"/>
      <x:c r="E41" s="98"/>
      <x:c r="F41" s="98"/>
      <x:c r="G41" s="98"/>
      <x:c r="H41" s="98"/>
    </x:row>
    <x:row r="42">
      <x:c r="A42" s="98"/>
      <x:c r="B42" s="98"/>
      <x:c r="C42" s="98"/>
      <x:c r="D42" s="100"/>
      <x:c r="E42" s="98"/>
      <x:c r="F42" s="98"/>
      <x:c r="G42" s="98"/>
      <x:c r="H42" s="98"/>
    </x:row>
    <x:row r="43">
      <x:c r="A43" s="98"/>
      <x:c r="B43" s="98"/>
      <x:c r="C43" s="98"/>
      <x:c r="D43" s="100"/>
      <x:c r="E43" s="98"/>
      <x:c r="F43" s="98"/>
      <x:c r="G43" s="98"/>
      <x:c r="H43" s="98"/>
    </x:row>
    <x:row r="44">
      <x:c r="A44" s="98"/>
      <x:c r="B44" s="98"/>
      <x:c r="C44" s="98"/>
      <x:c r="D44" s="100"/>
      <x:c r="E44" s="98"/>
      <x:c r="F44" s="98"/>
      <x:c r="G44" s="98"/>
      <x:c r="H44" s="98"/>
    </x:row>
    <x:row r="45">
      <x:c r="A45" s="98"/>
      <x:c r="B45" s="98"/>
      <x:c r="C45" s="98"/>
      <x:c r="D45" s="100"/>
      <x:c r="E45" s="98"/>
      <x:c r="F45" s="98"/>
      <x:c r="G45" s="98"/>
      <x:c r="H45" s="98"/>
    </x:row>
    <x:row r="46">
      <x:c r="A46" s="98"/>
      <x:c r="B46" s="98"/>
      <x:c r="C46" s="98"/>
      <x:c r="D46" s="100"/>
      <x:c r="E46" s="98"/>
      <x:c r="F46" s="98"/>
      <x:c r="G46" s="98"/>
      <x:c r="H46" s="98"/>
    </x:row>
    <x:row r="47">
      <x:c r="A47" s="98"/>
      <x:c r="B47" s="98"/>
      <x:c r="C47" s="98"/>
      <x:c r="D47" s="100"/>
      <x:c r="E47" s="98"/>
      <x:c r="F47" s="98"/>
      <x:c r="G47" s="98"/>
      <x:c r="H47" s="98"/>
    </x:row>
    <x:row r="48">
      <x:c r="A48" s="98"/>
      <x:c r="B48" s="98"/>
      <x:c r="C48" s="98"/>
      <x:c r="D48" s="100"/>
      <x:c r="E48" s="98"/>
      <x:c r="F48" s="98"/>
      <x:c r="G48" s="98"/>
      <x:c r="H48" s="98"/>
    </x:row>
    <x:row r="49">
      <x:c r="A49" s="98"/>
      <x:c r="B49" s="98"/>
      <x:c r="C49" s="98"/>
      <x:c r="D49" s="100"/>
      <x:c r="E49" s="98"/>
      <x:c r="F49" s="98"/>
      <x:c r="G49" s="98"/>
      <x:c r="H49" s="98"/>
    </x:row>
    <x:row r="50">
      <x:c r="A50" s="98"/>
      <x:c r="B50" s="98"/>
      <x:c r="C50" s="98"/>
      <x:c r="D50" s="100"/>
      <x:c r="E50" s="98"/>
      <x:c r="F50" s="98"/>
      <x:c r="G50" s="98"/>
      <x:c r="H50" s="98"/>
    </x:row>
    <x:row r="51">
      <x:c r="A51" s="98"/>
      <x:c r="B51" s="98"/>
      <x:c r="C51" s="98"/>
      <x:c r="D51" s="100"/>
      <x:c r="E51" s="98"/>
      <x:c r="F51" s="98"/>
      <x:c r="G51" s="98"/>
      <x:c r="H51" s="98"/>
    </x:row>
    <x:row r="52">
      <x:c r="A52" s="98"/>
      <x:c r="B52" s="98"/>
      <x:c r="C52" s="98"/>
      <x:c r="D52" s="100"/>
      <x:c r="E52" s="98"/>
      <x:c r="F52" s="98"/>
      <x:c r="G52" s="98"/>
      <x:c r="H52" s="98"/>
    </x:row>
    <x:row r="53">
      <x:c r="A53" s="98"/>
      <x:c r="B53" s="98"/>
      <x:c r="C53" s="98"/>
      <x:c r="D53" s="100"/>
      <x:c r="E53" s="98"/>
      <x:c r="F53" s="98"/>
      <x:c r="G53" s="98"/>
      <x:c r="H53" s="98"/>
    </x:row>
    <x:row r="54">
      <x:c r="A54" s="98"/>
      <x:c r="B54" s="98"/>
      <x:c r="C54" s="98"/>
      <x:c r="D54" s="100"/>
      <x:c r="E54" s="98"/>
      <x:c r="F54" s="98"/>
      <x:c r="G54" s="98"/>
      <x:c r="H54" s="98"/>
    </x:row>
    <x:row r="55">
      <x:c r="A55" s="98"/>
      <x:c r="B55" s="98"/>
      <x:c r="C55" s="98"/>
      <x:c r="D55" s="100"/>
      <x:c r="E55" s="98"/>
      <x:c r="F55" s="98"/>
      <x:c r="G55" s="98"/>
      <x:c r="H55" s="98"/>
    </x:row>
    <x:row r="56">
      <x:c r="A56" s="98"/>
      <x:c r="B56" s="98"/>
      <x:c r="C56" s="98"/>
      <x:c r="D56" s="100"/>
      <x:c r="E56" s="98"/>
      <x:c r="F56" s="98"/>
      <x:c r="G56" s="98"/>
      <x:c r="H56" s="98"/>
    </x:row>
    <x:row r="57">
      <x:c r="A57" s="98"/>
      <x:c r="B57" s="98"/>
      <x:c r="C57" s="98"/>
      <x:c r="D57" s="100"/>
      <x:c r="E57" s="98"/>
      <x:c r="F57" s="98"/>
      <x:c r="G57" s="98"/>
      <x:c r="H57" s="98"/>
    </x:row>
    <x:row r="58">
      <x:c r="A58" s="98"/>
      <x:c r="B58" s="98"/>
      <x:c r="C58" s="98"/>
      <x:c r="D58" s="100"/>
      <x:c r="E58" s="98"/>
      <x:c r="F58" s="98"/>
      <x:c r="G58" s="98"/>
      <x:c r="H58" s="98"/>
    </x:row>
    <x:row r="59">
      <x:c r="A59" s="98"/>
      <x:c r="B59" s="98"/>
      <x:c r="C59" s="98"/>
      <x:c r="D59" s="100"/>
      <x:c r="E59" s="98"/>
      <x:c r="F59" s="98"/>
      <x:c r="G59" s="98"/>
      <x:c r="H59" s="98"/>
    </x:row>
    <x:row r="60">
      <x:c r="A60" s="98"/>
      <x:c r="B60" s="98"/>
      <x:c r="C60" s="98"/>
      <x:c r="D60" s="100"/>
      <x:c r="E60" s="98"/>
      <x:c r="F60" s="98"/>
      <x:c r="G60" s="98"/>
      <x:c r="H60" s="98"/>
    </x:row>
    <x:row r="61">
      <x:c r="A61" s="98"/>
      <x:c r="B61" s="98"/>
      <x:c r="C61" s="98"/>
      <x:c r="D61" s="100"/>
      <x:c r="E61" s="98"/>
      <x:c r="F61" s="98"/>
      <x:c r="G61" s="98"/>
      <x:c r="H61" s="98"/>
    </x:row>
    <x:row r="62">
      <x:c r="A62" s="98"/>
      <x:c r="B62" s="98"/>
      <x:c r="C62" s="98"/>
      <x:c r="D62" s="100"/>
      <x:c r="E62" s="98"/>
      <x:c r="F62" s="98"/>
      <x:c r="G62" s="98"/>
      <x:c r="H62" s="98"/>
    </x:row>
    <x:row r="63">
      <x:c r="A63" s="98"/>
      <x:c r="B63" s="98"/>
      <x:c r="C63" s="98"/>
      <x:c r="D63" s="100"/>
      <x:c r="E63" s="98"/>
      <x:c r="F63" s="98"/>
      <x:c r="G63" s="98"/>
      <x:c r="H63" s="98"/>
    </x:row>
    <x:row r="64">
      <x:c r="A64" s="98"/>
      <x:c r="B64" s="98"/>
      <x:c r="C64" s="98"/>
      <x:c r="D64" s="100"/>
      <x:c r="E64" s="98"/>
      <x:c r="F64" s="98"/>
      <x:c r="G64" s="98"/>
      <x:c r="H64" s="98"/>
    </x:row>
    <x:row r="65">
      <x:c r="A65" s="98"/>
      <x:c r="B65" s="98"/>
      <x:c r="C65" s="98"/>
      <x:c r="D65" s="100"/>
      <x:c r="E65" s="98"/>
      <x:c r="F65" s="98"/>
      <x:c r="G65" s="98"/>
      <x:c r="H65" s="98"/>
    </x:row>
    <x:row r="66">
      <x:c r="A66" s="98"/>
      <x:c r="B66" s="98"/>
      <x:c r="C66" s="98"/>
      <x:c r="D66" s="100"/>
      <x:c r="E66" s="98"/>
      <x:c r="F66" s="98"/>
      <x:c r="G66" s="98"/>
      <x:c r="H66" s="98"/>
    </x:row>
    <x:row r="67">
      <x:c r="A67" s="98"/>
      <x:c r="B67" s="98"/>
      <x:c r="C67" s="98"/>
      <x:c r="D67" s="100"/>
      <x:c r="E67" s="98"/>
      <x:c r="F67" s="98"/>
      <x:c r="G67" s="98"/>
      <x:c r="H67" s="98"/>
    </x:row>
    <x:row r="68">
      <x:c r="A68" s="98"/>
      <x:c r="B68" s="98"/>
      <x:c r="C68" s="98"/>
      <x:c r="D68" s="100"/>
      <x:c r="E68" s="98"/>
      <x:c r="F68" s="98"/>
      <x:c r="G68" s="98"/>
      <x:c r="H68" s="98"/>
    </x:row>
    <x:row r="69">
      <x:c r="A69" s="98"/>
      <x:c r="B69" s="98"/>
      <x:c r="C69" s="98"/>
      <x:c r="D69" s="100"/>
      <x:c r="E69" s="98"/>
      <x:c r="F69" s="98"/>
      <x:c r="G69" s="98"/>
      <x:c r="H69" s="98"/>
    </x:row>
    <x:row r="70">
      <x:c r="A70" s="98"/>
      <x:c r="B70" s="98"/>
      <x:c r="C70" s="98"/>
      <x:c r="D70" s="100"/>
      <x:c r="E70" s="98"/>
      <x:c r="F70" s="98"/>
      <x:c r="G70" s="98"/>
      <x:c r="H70" s="98"/>
    </x:row>
    <x:row r="71">
      <x:c r="A71" s="98"/>
      <x:c r="B71" s="98"/>
      <x:c r="C71" s="98"/>
      <x:c r="D71" s="100"/>
      <x:c r="E71" s="98"/>
      <x:c r="F71" s="98"/>
      <x:c r="G71" s="98"/>
      <x:c r="H71" s="98"/>
    </x:row>
    <x:row r="72">
      <x:c r="A72" s="98"/>
      <x:c r="B72" s="98"/>
      <x:c r="C72" s="98"/>
      <x:c r="D72" s="100"/>
      <x:c r="E72" s="98"/>
      <x:c r="F72" s="98"/>
      <x:c r="G72" s="98"/>
      <x:c r="H72" s="98"/>
    </x:row>
    <x:row r="73">
      <x:c r="A73" s="98"/>
      <x:c r="B73" s="98"/>
      <x:c r="C73" s="98"/>
      <x:c r="D73" s="100"/>
      <x:c r="E73" s="98"/>
      <x:c r="F73" s="98"/>
      <x:c r="G73" s="98"/>
      <x:c r="H73" s="98"/>
    </x:row>
    <x:row r="74">
      <x:c r="A74" s="98"/>
      <x:c r="B74" s="98"/>
      <x:c r="C74" s="98"/>
      <x:c r="D74" s="100"/>
      <x:c r="E74" s="98"/>
      <x:c r="F74" s="98"/>
      <x:c r="G74" s="98"/>
      <x:c r="H74" s="98"/>
    </x:row>
    <x:row r="75">
      <x:c r="A75" s="98"/>
      <x:c r="B75" s="98"/>
      <x:c r="C75" s="98"/>
      <x:c r="D75" s="100"/>
      <x:c r="E75" s="98"/>
      <x:c r="F75" s="98"/>
      <x:c r="G75" s="98"/>
      <x:c r="H75" s="98"/>
    </x:row>
    <x:row r="76">
      <x:c r="A76" s="98"/>
      <x:c r="B76" s="98"/>
      <x:c r="C76" s="98"/>
      <x:c r="D76" s="100"/>
      <x:c r="E76" s="98"/>
      <x:c r="F76" s="98"/>
      <x:c r="G76" s="98"/>
      <x:c r="H76" s="98"/>
    </x:row>
    <x:row r="77">
      <x:c r="A77" s="98"/>
      <x:c r="B77" s="98"/>
      <x:c r="C77" s="98"/>
      <x:c r="D77" s="100"/>
      <x:c r="E77" s="98"/>
      <x:c r="F77" s="98"/>
      <x:c r="G77" s="98"/>
      <x:c r="H77" s="98"/>
    </x:row>
    <x:row r="78">
      <x:c r="A78" s="98"/>
      <x:c r="B78" s="98"/>
      <x:c r="C78" s="98"/>
      <x:c r="D78" s="100"/>
      <x:c r="E78" s="98"/>
      <x:c r="F78" s="98"/>
      <x:c r="G78" s="98"/>
      <x:c r="H78" s="98"/>
    </x:row>
    <x:row r="79">
      <x:c r="A79" s="98"/>
      <x:c r="B79" s="98"/>
      <x:c r="C79" s="98"/>
      <x:c r="D79" s="100"/>
      <x:c r="E79" s="98"/>
      <x:c r="F79" s="98"/>
      <x:c r="G79" s="98"/>
      <x:c r="H79" s="98"/>
    </x:row>
    <x:row r="80">
      <x:c r="A80" s="98"/>
      <x:c r="B80" s="98"/>
      <x:c r="C80" s="98"/>
      <x:c r="D80" s="100"/>
      <x:c r="E80" s="98"/>
      <x:c r="F80" s="98"/>
      <x:c r="G80" s="98"/>
      <x:c r="H80" s="98"/>
    </x:row>
    <x:row r="81">
      <x:c r="A81" s="98"/>
      <x:c r="B81" s="98"/>
      <x:c r="C81" s="98"/>
      <x:c r="D81" s="100"/>
      <x:c r="E81" s="98"/>
      <x:c r="F81" s="98"/>
      <x:c r="G81" s="98"/>
      <x:c r="H81" s="98"/>
    </x:row>
    <x:row r="82">
      <x:c r="A82" s="98"/>
      <x:c r="B82" s="98"/>
      <x:c r="C82" s="98"/>
      <x:c r="D82" s="100"/>
      <x:c r="E82" s="98"/>
      <x:c r="F82" s="98"/>
      <x:c r="G82" s="98"/>
      <x:c r="H82" s="98"/>
    </x:row>
    <x:row r="83">
      <x:c r="A83" s="98"/>
      <x:c r="B83" s="98"/>
      <x:c r="C83" s="98"/>
      <x:c r="D83" s="100"/>
      <x:c r="E83" s="98"/>
      <x:c r="F83" s="98"/>
      <x:c r="G83" s="98"/>
      <x:c r="H83" s="98"/>
    </x:row>
    <x:row r="84">
      <x:c r="A84" s="98"/>
      <x:c r="B84" s="98"/>
      <x:c r="C84" s="98"/>
      <x:c r="D84" s="100"/>
      <x:c r="E84" s="98"/>
      <x:c r="F84" s="98"/>
      <x:c r="G84" s="98"/>
      <x:c r="H84" s="98"/>
    </x:row>
    <x:row r="85">
      <x:c r="A85" s="98"/>
      <x:c r="B85" s="98"/>
      <x:c r="C85" s="98"/>
      <x:c r="D85" s="100"/>
      <x:c r="E85" s="98"/>
      <x:c r="F85" s="98"/>
      <x:c r="G85" s="98"/>
      <x:c r="H85" s="98"/>
    </x:row>
    <x:row r="86">
      <x:c r="A86" s="98"/>
      <x:c r="B86" s="98"/>
      <x:c r="C86" s="98"/>
      <x:c r="D86" s="100"/>
      <x:c r="E86" s="98"/>
      <x:c r="F86" s="98"/>
      <x:c r="G86" s="98"/>
      <x:c r="H86" s="98"/>
    </x:row>
    <x:row r="87">
      <x:c r="A87" s="98"/>
      <x:c r="B87" s="98"/>
      <x:c r="C87" s="98"/>
      <x:c r="D87" s="100"/>
      <x:c r="E87" s="98"/>
      <x:c r="F87" s="98"/>
      <x:c r="G87" s="98"/>
      <x:c r="H87" s="98"/>
    </x:row>
    <x:row r="88">
      <x:c r="A88" s="98"/>
      <x:c r="B88" s="98"/>
      <x:c r="C88" s="98"/>
      <x:c r="D88" s="100"/>
      <x:c r="E88" s="98"/>
      <x:c r="F88" s="98"/>
      <x:c r="G88" s="98"/>
      <x:c r="H88" s="98"/>
    </x:row>
    <x:row r="89">
      <x:c r="A89" s="98"/>
      <x:c r="B89" s="98"/>
      <x:c r="C89" s="98"/>
      <x:c r="D89" s="100"/>
      <x:c r="E89" s="98"/>
      <x:c r="F89" s="98"/>
      <x:c r="G89" s="98"/>
      <x:c r="H89" s="98"/>
    </x:row>
    <x:row r="90">
      <x:c r="A90" s="98"/>
      <x:c r="B90" s="98"/>
      <x:c r="C90" s="98"/>
      <x:c r="D90" s="100"/>
      <x:c r="E90" s="98"/>
      <x:c r="F90" s="98"/>
      <x:c r="G90" s="98"/>
      <x:c r="H90" s="98"/>
    </x:row>
    <x:row r="91">
      <x:c r="A91" s="98"/>
      <x:c r="B91" s="98"/>
      <x:c r="C91" s="98"/>
      <x:c r="D91" s="100"/>
      <x:c r="E91" s="98"/>
      <x:c r="F91" s="98"/>
      <x:c r="G91" s="98"/>
      <x:c r="H91" s="98"/>
    </x:row>
    <x:row r="92">
      <x:c r="A92" s="98"/>
      <x:c r="B92" s="98"/>
      <x:c r="C92" s="98"/>
      <x:c r="D92" s="100"/>
      <x:c r="E92" s="98"/>
      <x:c r="F92" s="98"/>
      <x:c r="G92" s="98"/>
      <x:c r="H92" s="98"/>
    </x:row>
    <x:row r="93">
      <x:c r="A93" s="98"/>
      <x:c r="B93" s="98"/>
      <x:c r="C93" s="98"/>
      <x:c r="D93" s="100"/>
      <x:c r="E93" s="98"/>
      <x:c r="F93" s="98"/>
      <x:c r="G93" s="98"/>
      <x:c r="H93" s="98"/>
    </x:row>
    <x:row r="94">
      <x:c r="A94" s="98"/>
      <x:c r="B94" s="98"/>
      <x:c r="C94" s="98"/>
      <x:c r="D94" s="100"/>
      <x:c r="E94" s="98"/>
      <x:c r="F94" s="98"/>
      <x:c r="G94" s="98"/>
      <x:c r="H94" s="98"/>
    </x:row>
    <x:row r="95">
      <x:c r="A95" s="98"/>
      <x:c r="B95" s="98"/>
      <x:c r="C95" s="98"/>
      <x:c r="D95" s="100"/>
      <x:c r="E95" s="98"/>
      <x:c r="F95" s="98"/>
      <x:c r="G95" s="98"/>
      <x:c r="H95" s="98"/>
    </x:row>
    <x:row r="96">
      <x:c r="A96" s="98"/>
      <x:c r="B96" s="98"/>
      <x:c r="C96" s="98"/>
      <x:c r="D96" s="100"/>
      <x:c r="E96" s="98"/>
      <x:c r="F96" s="98"/>
      <x:c r="G96" s="98"/>
      <x:c r="H96" s="98"/>
    </x:row>
    <x:row r="97">
      <x:c r="A97" s="98"/>
      <x:c r="B97" s="98"/>
      <x:c r="C97" s="98"/>
      <x:c r="D97" s="100"/>
      <x:c r="E97" s="98"/>
      <x:c r="F97" s="98"/>
      <x:c r="G97" s="98"/>
      <x:c r="H97" s="98"/>
    </x:row>
    <x:row r="98">
      <x:c r="A98" s="98"/>
      <x:c r="B98" s="98"/>
      <x:c r="C98" s="98"/>
      <x:c r="D98" s="100"/>
      <x:c r="E98" s="98"/>
      <x:c r="F98" s="98"/>
      <x:c r="G98" s="98"/>
      <x:c r="H98" s="98"/>
    </x:row>
    <x:row r="99">
      <x:c r="A99" s="98"/>
      <x:c r="B99" s="98"/>
      <x:c r="C99" s="98"/>
      <x:c r="D99" s="100"/>
      <x:c r="E99" s="98"/>
      <x:c r="F99" s="98"/>
      <x:c r="G99" s="98"/>
      <x:c r="H99" s="98"/>
    </x:row>
    <x:row r="100">
      <x:c r="A100" s="98"/>
      <x:c r="B100" s="98"/>
      <x:c r="C100" s="98"/>
      <x:c r="D100" s="100"/>
      <x:c r="E100" s="98"/>
      <x:c r="F100" s="98"/>
      <x:c r="G100" s="98"/>
      <x:c r="H100" s="98"/>
    </x:row>
    <x:row r="101">
      <x:c r="D101" s="72"/>
    </x:row>
    <x:row r="102">
      <x:c r="D102" s="72"/>
    </x:row>
    <x:row r="103">
      <x:c r="D103" s="72"/>
    </x:row>
    <x:row r="104">
      <x:c r="D104" s="72"/>
    </x:row>
    <x:row r="105">
      <x:c r="D105" s="72"/>
    </x:row>
    <x:row r="106">
      <x:c r="D106" s="72"/>
    </x:row>
    <x:row r="107">
      <x:c r="D107" s="72"/>
    </x:row>
    <x:row r="108">
      <x:c r="D108" s="72"/>
    </x:row>
    <x:row r="109">
      <x:c r="D109" s="72"/>
    </x:row>
    <x:row r="110">
      <x:c r="D110" s="72"/>
    </x:row>
    <x:row r="111">
      <x:c r="D111" s="72"/>
    </x:row>
    <x:row r="112">
      <x:c r="D112" s="72"/>
    </x:row>
    <x:row r="113">
      <x:c r="D113" s="72"/>
    </x:row>
    <x:row r="114">
      <x:c r="D114" s="72"/>
    </x:row>
    <x:row r="115">
      <x:c r="D115" s="72"/>
    </x:row>
    <x:row r="116">
      <x:c r="D116" s="72"/>
    </x:row>
    <x:row r="117">
      <x:c r="D117" s="72"/>
    </x:row>
    <x:row r="118">
      <x:c r="D118" s="72"/>
    </x:row>
    <x:row r="119">
      <x:c r="D119" s="72"/>
    </x:row>
    <x:row r="120">
      <x:c r="D120" s="72"/>
    </x:row>
    <x:row r="121">
      <x:c r="D121" s="72"/>
    </x:row>
    <x:row r="122">
      <x:c r="D122" s="72"/>
    </x:row>
    <x:row r="123">
      <x:c r="D123" s="72"/>
    </x:row>
    <x:row r="124">
      <x:c r="D124" s="72"/>
    </x:row>
    <x:row r="125">
      <x:c r="D125" s="72"/>
    </x:row>
    <x:row r="126">
      <x:c r="D126" s="72"/>
    </x:row>
    <x:row r="127">
      <x:c r="D127" s="72"/>
    </x:row>
    <x:row r="128">
      <x:c r="D128" s="72"/>
    </x:row>
    <x:row r="129">
      <x:c r="D129" s="72"/>
    </x:row>
    <x:row r="130">
      <x:c r="D130" s="72"/>
    </x:row>
    <x:row r="131">
      <x:c r="D131" s="72"/>
    </x:row>
    <x:row r="132">
      <x:c r="D132" s="72"/>
    </x:row>
    <x:row r="133">
      <x:c r="D133" s="72"/>
    </x:row>
    <x:row r="134">
      <x:c r="D134" s="72"/>
    </x:row>
    <x:row r="135">
      <x:c r="D135" s="72"/>
    </x:row>
    <x:row r="136">
      <x:c r="D136" s="72"/>
    </x:row>
    <x:row r="137">
      <x:c r="D137" s="72"/>
    </x:row>
    <x:row r="138">
      <x:c r="D138" s="72"/>
    </x:row>
    <x:row r="139">
      <x:c r="D139" s="72"/>
    </x:row>
    <x:row r="140">
      <x:c r="D140" s="72"/>
    </x:row>
    <x:row r="141">
      <x:c r="D141" s="72"/>
    </x:row>
    <x:row r="142">
      <x:c r="D142" s="72"/>
    </x:row>
    <x:row r="143">
      <x:c r="D143" s="72"/>
    </x:row>
    <x:row r="144">
      <x:c r="D144" s="72"/>
    </x:row>
    <x:row r="145">
      <x:c r="D145" s="72"/>
    </x:row>
    <x:row r="146">
      <x:c r="D146" s="72"/>
    </x:row>
    <x:row r="147">
      <x:c r="D147" s="72"/>
    </x:row>
    <x:row r="148">
      <x:c r="D148" s="72"/>
    </x:row>
    <x:row r="149">
      <x:c r="D149" s="72"/>
    </x:row>
    <x:row r="150">
      <x:c r="D150" s="72"/>
    </x:row>
    <x:row r="151">
      <x:c r="D151" s="72"/>
    </x:row>
    <x:row r="152">
      <x:c r="D152" s="72"/>
    </x:row>
    <x:row r="153">
      <x:c r="D153" s="72"/>
    </x:row>
    <x:row r="154">
      <x:c r="D154" s="72"/>
    </x:row>
    <x:row r="155">
      <x:c r="D155" s="72"/>
    </x:row>
    <x:row r="156">
      <x:c r="D156" s="72"/>
    </x:row>
    <x:row r="157">
      <x:c r="D157" s="72"/>
    </x:row>
    <x:row r="158">
      <x:c r="D158" s="72"/>
    </x:row>
    <x:row r="159">
      <x:c r="D159" s="72"/>
    </x:row>
    <x:row r="160">
      <x:c r="D160" s="72"/>
    </x:row>
    <x:row r="161">
      <x:c r="D161" s="72"/>
    </x:row>
    <x:row r="162">
      <x:c r="D162" s="72"/>
    </x:row>
    <x:row r="163">
      <x:c r="D163" s="72"/>
    </x:row>
    <x:row r="164">
      <x:c r="D164" s="72"/>
    </x:row>
    <x:row r="165">
      <x:c r="D165" s="72"/>
    </x:row>
    <x:row r="166">
      <x:c r="D166" s="72"/>
    </x:row>
    <x:row r="167">
      <x:c r="D167" s="72"/>
    </x:row>
    <x:row r="168">
      <x:c r="D168" s="72"/>
    </x:row>
    <x:row r="169">
      <x:c r="D169" s="72"/>
    </x:row>
    <x:row r="170">
      <x:c r="D170" s="72"/>
    </x:row>
    <x:row r="171">
      <x:c r="D171" s="72"/>
    </x:row>
    <x:row r="172">
      <x:c r="D172" s="72"/>
    </x:row>
    <x:row r="173">
      <x:c r="D173" s="72"/>
    </x:row>
    <x:row r="174">
      <x:c r="D174" s="72"/>
    </x:row>
    <x:row r="175">
      <x:c r="D175" s="72"/>
    </x:row>
    <x:row r="176">
      <x:c r="D176" s="72"/>
    </x:row>
    <x:row r="177">
      <x:c r="D177" s="72"/>
    </x:row>
    <x:row r="178">
      <x:c r="D178" s="72"/>
    </x:row>
    <x:row r="179">
      <x:c r="D179" s="72"/>
    </x:row>
    <x:row r="180">
      <x:c r="D180" s="72"/>
    </x:row>
    <x:row r="181">
      <x:c r="D181" s="72"/>
    </x:row>
    <x:row r="182">
      <x:c r="D182" s="72"/>
    </x:row>
    <x:row r="183">
      <x:c r="D183" s="72"/>
    </x:row>
    <x:row r="184">
      <x:c r="D184" s="72"/>
    </x:row>
    <x:row r="185">
      <x:c r="D185" s="72"/>
    </x:row>
    <x:row r="186">
      <x:c r="D186" s="72"/>
    </x:row>
    <x:row r="187">
      <x:c r="D187" s="72"/>
    </x:row>
    <x:row r="188">
      <x:c r="D188" s="72"/>
    </x:row>
    <x:row r="189">
      <x:c r="D189" s="72"/>
    </x:row>
    <x:row r="190">
      <x:c r="D190" s="72"/>
    </x:row>
    <x:row r="191">
      <x:c r="D191" s="72"/>
    </x:row>
    <x:row r="192">
      <x:c r="D192" s="72"/>
    </x:row>
    <x:row r="193">
      <x:c r="D193" s="72"/>
    </x:row>
    <x:row r="194">
      <x:c r="D194" s="72"/>
    </x:row>
    <x:row r="195">
      <x:c r="D195" s="72"/>
    </x:row>
    <x:row r="196">
      <x:c r="D196" s="72"/>
    </x:row>
    <x:row r="197">
      <x:c r="D197" s="72"/>
    </x:row>
    <x:row r="198">
      <x:c r="D198" s="72"/>
    </x:row>
    <x:row r="199">
      <x:c r="D199" s="72"/>
    </x:row>
    <x:row r="200">
      <x:c r="D200" s="7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4" hidden="0" customWidth="1"/>
  </x:cols>
  <x:sheetData>
    <x:row r="1" ht="26" customHeight="1">
      <x:c r="A1" s="4" t="str">
        <x:v>Standardisierte Modellbegriffe</x:v>
      </x:c>
      <x:c r="B1" s="4"/>
      <x:c r="C1" s="4"/>
    </x:row>
    <x:row r="3" ht="28" customHeight="1">
      <x:c r="A3" s="26" t="str">
        <x:v>liste</x:v>
      </x:c>
      <x:c r="B3" s="26" t="str">
        <x:v>wert</x:v>
      </x:c>
      <x:c r="C3" s="26" t="str">
        <x:v>beschreibung</x:v>
      </x:c>
    </x:row>
    <x:row r="4">
      <x:c r="A4" s="52" t="str">
        <x:v>Lastmodell</x:v>
      </x:c>
      <x:c r="B4" s="52" t="str">
        <x:v>FIXED</x:v>
      </x:c>
      <x:c r="C4" s="52" t="str">
        <x:v>Unabhängig von Auslastung; über Nutzungszeit ein/aus</x:v>
      </x:c>
    </x:row>
    <x:row r="5">
      <x:c r="A5" s="52" t="str">
        <x:v>Lastmodell</x:v>
      </x:c>
      <x:c r="B5" s="52" t="str">
        <x:v>LINEAR</x:v>
      </x:c>
      <x:c r="C5" s="52" t="str">
        <x:v>Last skaliert näherungsweise linear mit dem Treiber</x:v>
      </x:c>
    </x:row>
    <x:row r="6">
      <x:c r="A6" s="52" t="str">
        <x:v>Lastmodell</x:v>
      </x:c>
      <x:c r="B6" s="52" t="str">
        <x:v>STEP</x:v>
      </x:c>
      <x:c r="C6" s="52" t="str">
        <x:v>Stufenweise Aktivierung abhängig vom Treiber</x:v>
      </x:c>
    </x:row>
    <x:row r="7">
      <x:c r="A7" s="52" t="str">
        <x:v>Lastmodell</x:v>
      </x:c>
      <x:c r="B7" s="52" t="str">
        <x:v>EVENT</x:v>
      </x:c>
      <x:c r="C7" s="52" t="str">
        <x:v>Einzelereignisse, z. B. Laden oder Spülen</x:v>
      </x:c>
    </x:row>
    <x:row r="8">
      <x:c r="A8" s="52" t="str">
        <x:v>Lastmodell</x:v>
      </x:c>
      <x:c r="B8" s="52" t="str">
        <x:v>MEASURED</x:v>
      </x:c>
      <x:c r="C8" s="52" t="str">
        <x:v>Gemessener Lastgang wird direkt verwendet</x:v>
      </x:c>
    </x:row>
    <x:row r="9">
      <x:c r="A9" s="52" t="str">
        <x:v>Treiber</x:v>
      </x:c>
      <x:c r="B9" s="52" t="str">
        <x:v>belegte_zimmer</x:v>
      </x:c>
      <x:c r="C9" s="52" t="str">
        <x:v>Anzahl belegter Hotelzimmer</x:v>
      </x:c>
    </x:row>
    <x:row r="10">
      <x:c r="A10" s="52" t="str">
        <x:v>Treiber</x:v>
      </x:c>
      <x:c r="B10" s="52" t="str">
        <x:v>hotel_auslastung</x:v>
      </x:c>
      <x:c r="C10" s="52" t="str">
        <x:v>Hotel-Auslastung in %</x:v>
      </x:c>
    </x:row>
    <x:row r="11">
      <x:c r="A11" s="52" t="str">
        <x:v>Treiber</x:v>
      </x:c>
      <x:c r="B11" s="52" t="str">
        <x:v>belegte_chalets</x:v>
      </x:c>
      <x:c r="C11" s="52" t="str">
        <x:v>Anzahl belegter Chalets</x:v>
      </x:c>
    </x:row>
    <x:row r="12">
      <x:c r="A12" s="52" t="str">
        <x:v>Treiber</x:v>
      </x:c>
      <x:c r="B12" s="52" t="str">
        <x:v>chalet_auslastung</x:v>
      </x:c>
      <x:c r="C12" s="52" t="str">
        <x:v>Chalet-Auslastung in %</x:v>
      </x:c>
    </x:row>
    <x:row r="13">
      <x:c r="A13" s="52" t="str">
        <x:v>Treiber</x:v>
      </x:c>
      <x:c r="B13" s="52" t="str">
        <x:v>hausgaeste_gesamt</x:v>
      </x:c>
      <x:c r="C13" s="52" t="str">
        <x:v>Hotelgäste + Chaletgäste</x:v>
      </x:c>
    </x:row>
    <x:row r="14">
      <x:c r="A14" s="52" t="str">
        <x:v>Treiber</x:v>
      </x:c>
      <x:c r="B14" s="52" t="str">
        <x:v>fruehstueck_gaeste_gesamt</x:v>
      </x:c>
      <x:c r="C14" s="52" t="str">
        <x:v>Interne + externe Frühstücksgäste</x:v>
      </x:c>
    </x:row>
    <x:row r="15">
      <x:c r="A15" s="52" t="str">
        <x:v>Treiber</x:v>
      </x:c>
      <x:c r="B15" s="52" t="str">
        <x:v>sauna_gaeste_gesamt</x:v>
      </x:c>
      <x:c r="C15" s="52" t="str">
        <x:v>Interne + externe Saunagäste</x:v>
      </x:c>
    </x:row>
    <x:row r="16">
      <x:c r="A16" s="52" t="str">
        <x:v>Treiber</x:v>
      </x:c>
      <x:c r="B16" s="52" t="str">
        <x:v>restaurant_abend_gaeste</x:v>
      </x:c>
      <x:c r="C16" s="52" t="str">
        <x:v>Abendgäste Gastronomie</x:v>
      </x:c>
    </x:row>
    <x:row r="17">
      <x:c r="A17" s="52" t="str">
        <x:v>Treiber</x:v>
      </x:c>
      <x:c r="B17" s="52" t="str">
        <x:v>veranstaltung_gaeste</x:v>
      </x:c>
      <x:c r="C17" s="52" t="str">
        <x:v>Tagungs-/Veranstaltungsgäste</x:v>
      </x:c>
    </x:row>
    <x:row r="18">
      <x:c r="A18" s="52" t="str">
        <x:v>Treiber</x:v>
      </x:c>
      <x:c r="B18" s="52" t="str">
        <x:v>tagung_aktiv</x:v>
      </x:c>
      <x:c r="C18" s="52" t="str">
        <x:v>0/1 für Tagungsbetrieb</x:v>
      </x:c>
    </x:row>
    <x:row r="19">
      <x:c r="A19" s="52" t="str">
        <x:v>Treiber</x:v>
      </x:c>
      <x:c r="B19" s="52" t="str">
        <x:v>ladevorgaenge</x:v>
      </x:c>
      <x:c r="C19" s="52" t="str">
        <x:v>Anzahl Ladevorgänge</x:v>
      </x:c>
    </x:row>
    <x:row r="20">
      <x:c r="A20" s="52" t="str">
        <x:v>Treiber</x:v>
      </x:c>
      <x:c r="B20" s="52" t="str">
        <x:v>waesche_kg</x:v>
      </x:c>
      <x:c r="C20" s="52" t="str">
        <x:v>Wäschemenge in kg</x:v>
      </x:c>
    </x:row>
    <x:row r="21">
      <x:c r="A21" s="52" t="str">
        <x:v>Treiber</x:v>
      </x:c>
      <x:c r="B21" s="52" t="str">
        <x:v>fixed</x:v>
      </x:c>
      <x:c r="C21" s="52" t="str">
        <x:v>Keine Auslastungsabhängigkeit</x:v>
      </x:c>
    </x:row>
    <x:row r="22">
      <x:c r="A22" s="52" t="str">
        <x:v>Treiber</x:v>
      </x:c>
      <x:c r="B22" s="52" t="str">
        <x:v>saison</x:v>
      </x:c>
      <x:c r="C22" s="52" t="str">
        <x:v>Saisonabhängiger Faktor</x:v>
      </x:c>
    </x:row>
    <x:row r="23">
      <x:c r="A23" t="str">
        <x:v>Treiber</x:v>
      </x:c>
      <x:c r="B23" t="str">
        <x:v>waescherei_betrieb</x:v>
      </x:c>
      <x:c r="C23" t="str">
        <x:v>Betriebsstatus der Wäscherei gemäß saisonalen Betriebstagen</x:v>
      </x:c>
    </x:row>
    <x:row r="24">
      <x:c r="A24" t="str">
        <x:v>Treiber</x:v>
      </x:c>
      <x:c r="B24" t="str">
        <x:v>abendessen_gaeste_gesamt</x:v>
      </x:c>
      <x:c r="C24" t="str">
        <x:v>90 % Hausgäste + externe Abendgäste nach Wochentyp</x:v>
      </x:c>
    </x:row>
    <x:row r="25">
      <x:c r="A25" t="str">
        <x:v>Treiber</x:v>
      </x:c>
      <x:c r="B25" t="str">
        <x:v>kirchberghuette_belegt</x:v>
      </x:c>
      <x:c r="C25" t="str">
        <x:v>Binärer Treiber: 1 = Unterkunft belegt, 0 = nicht belegt</x:v>
      </x:c>
    </x:row>
    <x:row r="26">
      <x:c r="A26" t="str">
        <x:v>Treiber</x:v>
      </x:c>
      <x:c r="B26" t="str">
        <x:v>kirchberghuette_auslastung</x:v>
      </x:c>
      <x:c r="C26" t="str">
        <x:v>Nicht mehr für das KISS-Modell der Kirchberghütte verwendet; nur als Reserve</x:v>
      </x:c>
    </x:row>
    <x:row r="27">
      <x:c r="A27" t="str">
        <x:v>Treiber</x:v>
      </x:c>
      <x:c r="B27" t="str">
        <x:v>aussentemperatur</x:v>
      </x:c>
      <x:c r="C27" t="str">
        <x:v>Außentemperatur als Zeitreihe; später zentrale Kopplungsgröße zum thermischen Modell</x:v>
      </x:c>
    </x:row>
    <x:row r="28">
      <x:c r="A28" t="str">
        <x:v>Treiber</x:v>
      </x:c>
      <x:c r="B28" t="str">
        <x:v>chaletgaeste</x:v>
      </x:c>
      <x:c r="C28" t="str">
        <x:v>Berechnete Gästezahl in den belegten Chalets</x:v>
      </x:c>
    </x:row>
    <x:row r="29">
      <x:c r="A29" t="str">
        <x:v>Parameter</x:v>
      </x:c>
      <x:c r="B29" t="str">
        <x:v>gleichzeitigkeitsfaktor</x:v>
      </x:c>
      <x:c r="C29" t="str">
        <x:v>Standard auf Gruppenebene; optionaler Override je Verbraucher</x:v>
      </x:c>
    </x:row>
    <x:row r="30">
      <x:c r="A30" t="str">
        <x:v>Treiber</x:v>
      </x:c>
      <x:c r="B30" t="str">
        <x:v>tagungsraum_auslastung</x:v>
      </x:c>
      <x:c r="C30" t="str">
        <x:v>Normierte Tagungsauslastung 0–1; aus Veranstaltungsgästen / 120 verfügbaren Arbeitsplätzen ableitbar</x:v>
      </x:c>
    </x:row>
    <x:row r="31">
      <x:c r="A31" t="str">
        <x:v>Treiber</x:v>
      </x:c>
      <x:c r="B31" t="str">
        <x:v>waermebedarf_normiert</x:v>
      </x:c>
      <x:c r="C31" t="str">
        <x:v>Normierter Wärmebedarf 0–1; wird später aus dem thermischen Modell / der Außentemperatur abgeleitet</x:v>
      </x:c>
    </x:row>
    <x:row r="32">
      <x:c r="A32" t="str">
        <x:v>Treiber</x:v>
      </x:c>
      <x:c r="B32" t="str">
        <x:v>prozesswaermebedarf_normiert</x:v>
      </x:c>
      <x:c r="C32" t="str">
        <x:v>Normierter Prozesswärmebedarf 0–1; steuert Hilfsenergie der Prozesswärmeerzeuger</x:v>
      </x:c>
    </x:row>
    <x:row r="33">
      <x:c r="A33" t="str">
        <x:v>Treiber</x:v>
      </x:c>
      <x:c r="B33" t="str">
        <x:v>dunkelheit</x:v>
      </x:c>
      <x:c r="C33" t="str">
        <x:v>Binärer bzw. normierter Treiber für Außenbeleuchtung; später aus Sonnenauf-/untergang ableitbar</x:v>
      </x:c>
    </x:row>
    <x:row r="34">
      <x:c r="A34" t="str">
        <x:v>Treiber</x:v>
      </x:c>
      <x:c r="B34" t="str">
        <x:v>tageszeit</x:v>
      </x:c>
      <x:c r="C34" t="str">
        <x:v>Zeitabhängige Freigabe bzw. Tagesprofil des Verbrauchers</x:v>
      </x:c>
    </x:row>
    <x:row r="35">
      <x:c r="A35" t="str">
        <x:v>Treiber</x:v>
      </x:c>
      <x:c r="B35" t="str">
        <x:v>tagungsraum_auslastung</x:v>
      </x:c>
      <x:c r="C35" t="str">
        <x:v>Anteil gleichzeitig aktiver Tagungsräume 0–1; KISS-Modell statt Arbeitsplatzquote</x:v>
      </x:c>
    </x:row>
  </x:sheetData>
  <x:mergeCells>
    <x:mergeCell ref="A1:C1"/>
  </x:mergeCells>
  <x:pageMargins left="0.7" right="0.7" top="0.75" bottom="0.75" header="0.3" footer="0.3"/>
</x:worksheet>
</file>